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definedName name="_xlnm._FilterDatabase" localSheetId="1" hidden="1">'Test Cases'!$A$1:$J$126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4E78"/>
      <sz val="15"/>
    </font>
    <font>
      <i val="1"/>
      <color rgb="00595959"/>
      <sz val="10"/>
    </font>
    <font>
      <b val="1"/>
      <color rgb="00FFFFFF"/>
    </font>
    <font>
      <b val="1"/>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9" fontId="5"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3" borderId="1" applyAlignment="1" pivotButton="0" quotePrefix="0" xfId="0">
      <alignment horizontal="left" vertical="center"/>
    </xf>
    <xf numFmtId="0" fontId="0" fillId="3" borderId="1" applyAlignment="1" pivotButton="0" quotePrefix="0" xfId="0">
      <alignment horizontal="center" vertical="center"/>
    </xf>
    <xf numFmtId="9" fontId="0" fillId="3" borderId="1" applyAlignment="1" pivotButton="0" quotePrefix="0" xfId="0">
      <alignment horizontal="center" vertical="center"/>
    </xf>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s>
  <sheetData>
    <row r="1">
      <c r="A1" s="1" t="inlineStr">
        <is>
          <t>Zamboni Engine Test Plan -- Pass/Fail Summary</t>
        </is>
      </c>
    </row>
    <row r="2" ht="28" customHeight="1">
      <c r="A2" s="2" t="inlineStr">
        <is>
          <t>Mark each row on the 'Test Cases' sheet as Pass, Fail, or N/A (dropdown in the Pass/Fail column). The numbers below update by themselves.</t>
        </is>
      </c>
    </row>
    <row r="4">
      <c r="A4" s="3" t="inlineStr">
        <is>
          <t>Category</t>
        </is>
      </c>
      <c r="B4" s="3" t="inlineStr">
        <is>
          <t>Total</t>
        </is>
      </c>
      <c r="C4" s="3" t="inlineStr">
        <is>
          <t>Passed</t>
        </is>
      </c>
      <c r="D4" s="3" t="inlineStr">
        <is>
          <t>Failed</t>
        </is>
      </c>
      <c r="E4" s="3" t="inlineStr">
        <is>
          <t>Not Tested Yet</t>
        </is>
      </c>
      <c r="F4" s="3" t="inlineStr">
        <is>
          <t>Pass Rate</t>
        </is>
      </c>
    </row>
    <row r="5">
      <c r="A5" s="4" t="inlineStr">
        <is>
          <t>ALL TESTS</t>
        </is>
      </c>
      <c r="B5" s="5">
        <f>COUNTA('Test Cases'!A2:A126)</f>
        <v/>
      </c>
      <c r="C5" s="5">
        <f>COUNTIF('Test Cases'!$I$2:$I$126,"Pass")</f>
        <v/>
      </c>
      <c r="D5" s="5">
        <f>COUNTIF('Test Cases'!$I$2:$I$126,"Fail")</f>
        <v/>
      </c>
      <c r="E5" s="5">
        <f>B5-C5-D5</f>
        <v/>
      </c>
      <c r="F5" s="6">
        <f>IF((C5+D5)=0,"",C5/(C5+D5))</f>
        <v/>
      </c>
    </row>
    <row r="6">
      <c r="A6" s="7" t="inlineStr">
        <is>
          <t>Smoke Test</t>
        </is>
      </c>
      <c r="B6" s="8">
        <f>COUNTIF('Test Cases'!$B$2:$B$126,$A6)</f>
        <v/>
      </c>
      <c r="C6" s="8">
        <f>COUNTIFS('Test Cases'!$B$2:$B$126,$A6,'Test Cases'!$I$2:$I$126,"Pass")</f>
        <v/>
      </c>
      <c r="D6" s="8">
        <f>COUNTIFS('Test Cases'!$B$2:$B$126,$A6,'Test Cases'!$I$2:$I$126,"Fail")</f>
        <v/>
      </c>
      <c r="E6" s="8">
        <f>B6-C6-D6</f>
        <v/>
      </c>
      <c r="F6" s="9">
        <f>IF((C6+D6)=0,"",C6/(C6+D6))</f>
        <v/>
      </c>
    </row>
    <row r="7">
      <c r="A7" s="10" t="inlineStr">
        <is>
          <t>Table Registration</t>
        </is>
      </c>
      <c r="B7" s="11">
        <f>COUNTIF('Test Cases'!$B$2:$B$126,$A7)</f>
        <v/>
      </c>
      <c r="C7" s="11">
        <f>COUNTIFS('Test Cases'!$B$2:$B$126,$A7,'Test Cases'!$I$2:$I$126,"Pass")</f>
        <v/>
      </c>
      <c r="D7" s="11">
        <f>COUNTIFS('Test Cases'!$B$2:$B$126,$A7,'Test Cases'!$I$2:$I$126,"Fail")</f>
        <v/>
      </c>
      <c r="E7" s="11">
        <f>B7-C7-D7</f>
        <v/>
      </c>
      <c r="F7" s="12">
        <f>IF((C7+D7)=0,"",C7/(C7+D7))</f>
        <v/>
      </c>
    </row>
    <row r="8">
      <c r="A8" s="7" t="inlineStr">
        <is>
          <t>Policy Config</t>
        </is>
      </c>
      <c r="B8" s="8">
        <f>COUNTIF('Test Cases'!$B$2:$B$126,$A8)</f>
        <v/>
      </c>
      <c r="C8" s="8">
        <f>COUNTIFS('Test Cases'!$B$2:$B$126,$A8,'Test Cases'!$I$2:$I$126,"Pass")</f>
        <v/>
      </c>
      <c r="D8" s="8">
        <f>COUNTIFS('Test Cases'!$B$2:$B$126,$A8,'Test Cases'!$I$2:$I$126,"Fail")</f>
        <v/>
      </c>
      <c r="E8" s="8">
        <f>B8-C8-D8</f>
        <v/>
      </c>
      <c r="F8" s="9">
        <f>IF((C8+D8)=0,"",C8/(C8+D8))</f>
        <v/>
      </c>
    </row>
    <row r="9">
      <c r="A9" s="10" t="inlineStr">
        <is>
          <t>Gate 0 (Conflict + Lock)</t>
        </is>
      </c>
      <c r="B9" s="11">
        <f>COUNTIF('Test Cases'!$B$2:$B$126,$A9)</f>
        <v/>
      </c>
      <c r="C9" s="11">
        <f>COUNTIFS('Test Cases'!$B$2:$B$126,$A9,'Test Cases'!$I$2:$I$126,"Pass")</f>
        <v/>
      </c>
      <c r="D9" s="11">
        <f>COUNTIFS('Test Cases'!$B$2:$B$126,$A9,'Test Cases'!$I$2:$I$126,"Fail")</f>
        <v/>
      </c>
      <c r="E9" s="11">
        <f>B9-C9-D9</f>
        <v/>
      </c>
      <c r="F9" s="12">
        <f>IF((C9+D9)=0,"",C9/(C9+D9))</f>
        <v/>
      </c>
    </row>
    <row r="10">
      <c r="A10" s="7" t="inlineStr">
        <is>
          <t>Gate 1 (Control-M)</t>
        </is>
      </c>
      <c r="B10" s="8">
        <f>COUNTIF('Test Cases'!$B$2:$B$126,$A10)</f>
        <v/>
      </c>
      <c r="C10" s="8">
        <f>COUNTIFS('Test Cases'!$B$2:$B$126,$A10,'Test Cases'!$I$2:$I$126,"Pass")</f>
        <v/>
      </c>
      <c r="D10" s="8">
        <f>COUNTIFS('Test Cases'!$B$2:$B$126,$A10,'Test Cases'!$I$2:$I$126,"Fail")</f>
        <v/>
      </c>
      <c r="E10" s="8">
        <f>B10-C10-D10</f>
        <v/>
      </c>
      <c r="F10" s="9">
        <f>IF((C10+D10)=0,"",C10/(C10+D10))</f>
        <v/>
      </c>
    </row>
    <row r="11">
      <c r="A11" s="10" t="inlineStr">
        <is>
          <t>Gate 2 (Window)</t>
        </is>
      </c>
      <c r="B11" s="11">
        <f>COUNTIF('Test Cases'!$B$2:$B$126,$A11)</f>
        <v/>
      </c>
      <c r="C11" s="11">
        <f>COUNTIFS('Test Cases'!$B$2:$B$126,$A11,'Test Cases'!$I$2:$I$126,"Pass")</f>
        <v/>
      </c>
      <c r="D11" s="11">
        <f>COUNTIFS('Test Cases'!$B$2:$B$126,$A11,'Test Cases'!$I$2:$I$126,"Fail")</f>
        <v/>
      </c>
      <c r="E11" s="11">
        <f>B11-C11-D11</f>
        <v/>
      </c>
      <c r="F11" s="12">
        <f>IF((C11+D11)=0,"",C11/(C11+D11))</f>
        <v/>
      </c>
    </row>
    <row r="12">
      <c r="A12" s="7" t="inlineStr">
        <is>
          <t>Circuit Breaker</t>
        </is>
      </c>
      <c r="B12" s="8">
        <f>COUNTIF('Test Cases'!$B$2:$B$126,$A12)</f>
        <v/>
      </c>
      <c r="C12" s="8">
        <f>COUNTIFS('Test Cases'!$B$2:$B$126,$A12,'Test Cases'!$I$2:$I$126,"Pass")</f>
        <v/>
      </c>
      <c r="D12" s="8">
        <f>COUNTIFS('Test Cases'!$B$2:$B$126,$A12,'Test Cases'!$I$2:$I$126,"Fail")</f>
        <v/>
      </c>
      <c r="E12" s="8">
        <f>B12-C12-D12</f>
        <v/>
      </c>
      <c r="F12" s="9">
        <f>IF((C12+D12)=0,"",C12/(C12+D12))</f>
        <v/>
      </c>
    </row>
    <row r="13">
      <c r="A13" s="10" t="inlineStr">
        <is>
          <t>Idempotency</t>
        </is>
      </c>
      <c r="B13" s="11">
        <f>COUNTIF('Test Cases'!$B$2:$B$126,$A13)</f>
        <v/>
      </c>
      <c r="C13" s="11">
        <f>COUNTIFS('Test Cases'!$B$2:$B$126,$A13,'Test Cases'!$I$2:$I$126,"Pass")</f>
        <v/>
      </c>
      <c r="D13" s="11">
        <f>COUNTIFS('Test Cases'!$B$2:$B$126,$A13,'Test Cases'!$I$2:$I$126,"Fail")</f>
        <v/>
      </c>
      <c r="E13" s="11">
        <f>B13-C13-D13</f>
        <v/>
      </c>
      <c r="F13" s="12">
        <f>IF((C13+D13)=0,"",C13/(C13+D13))</f>
        <v/>
      </c>
    </row>
    <row r="14">
      <c r="A14" s="7" t="inlineStr">
        <is>
          <t>HK Engine</t>
        </is>
      </c>
      <c r="B14" s="8">
        <f>COUNTIF('Test Cases'!$B$2:$B$126,$A14)</f>
        <v/>
      </c>
      <c r="C14" s="8">
        <f>COUNTIFS('Test Cases'!$B$2:$B$126,$A14,'Test Cases'!$I$2:$I$126,"Pass")</f>
        <v/>
      </c>
      <c r="D14" s="8">
        <f>COUNTIFS('Test Cases'!$B$2:$B$126,$A14,'Test Cases'!$I$2:$I$126,"Fail")</f>
        <v/>
      </c>
      <c r="E14" s="8">
        <f>B14-C14-D14</f>
        <v/>
      </c>
      <c r="F14" s="9">
        <f>IF((C14+D14)=0,"",C14/(C14+D14))</f>
        <v/>
      </c>
    </row>
    <row r="15">
      <c r="A15" s="10" t="inlineStr">
        <is>
          <t>Backpressure</t>
        </is>
      </c>
      <c r="B15" s="11">
        <f>COUNTIF('Test Cases'!$B$2:$B$126,$A15)</f>
        <v/>
      </c>
      <c r="C15" s="11">
        <f>COUNTIFS('Test Cases'!$B$2:$B$126,$A15,'Test Cases'!$I$2:$I$126,"Pass")</f>
        <v/>
      </c>
      <c r="D15" s="11">
        <f>COUNTIFS('Test Cases'!$B$2:$B$126,$A15,'Test Cases'!$I$2:$I$126,"Fail")</f>
        <v/>
      </c>
      <c r="E15" s="11">
        <f>B15-C15-D15</f>
        <v/>
      </c>
      <c r="F15" s="12">
        <f>IF((C15+D15)=0,"",C15/(C15+D15))</f>
        <v/>
      </c>
    </row>
    <row r="16">
      <c r="A16" s="7" t="inlineStr">
        <is>
          <t>Archival Engine</t>
        </is>
      </c>
      <c r="B16" s="8">
        <f>COUNTIF('Test Cases'!$B$2:$B$126,$A16)</f>
        <v/>
      </c>
      <c r="C16" s="8">
        <f>COUNTIFS('Test Cases'!$B$2:$B$126,$A16,'Test Cases'!$I$2:$I$126,"Pass")</f>
        <v/>
      </c>
      <c r="D16" s="8">
        <f>COUNTIFS('Test Cases'!$B$2:$B$126,$A16,'Test Cases'!$I$2:$I$126,"Fail")</f>
        <v/>
      </c>
      <c r="E16" s="8">
        <f>B16-C16-D16</f>
        <v/>
      </c>
      <c r="F16" s="9">
        <f>IF((C16+D16)=0,"",C16/(C16+D16))</f>
        <v/>
      </c>
    </row>
    <row r="17">
      <c r="A17" s="10" t="inlineStr">
        <is>
          <t>Lifecycle Engine</t>
        </is>
      </c>
      <c r="B17" s="11">
        <f>COUNTIF('Test Cases'!$B$2:$B$126,$A17)</f>
        <v/>
      </c>
      <c r="C17" s="11">
        <f>COUNTIFS('Test Cases'!$B$2:$B$126,$A17,'Test Cases'!$I$2:$I$126,"Pass")</f>
        <v/>
      </c>
      <c r="D17" s="11">
        <f>COUNTIFS('Test Cases'!$B$2:$B$126,$A17,'Test Cases'!$I$2:$I$126,"Fail")</f>
        <v/>
      </c>
      <c r="E17" s="11">
        <f>B17-C17-D17</f>
        <v/>
      </c>
      <c r="F17" s="12">
        <f>IF((C17+D17)=0,"",C17/(C17+D17))</f>
        <v/>
      </c>
    </row>
    <row r="18">
      <c r="A18" s="7" t="inlineStr">
        <is>
          <t>Recovery</t>
        </is>
      </c>
      <c r="B18" s="8">
        <f>COUNTIF('Test Cases'!$B$2:$B$126,$A18)</f>
        <v/>
      </c>
      <c r="C18" s="8">
        <f>COUNTIFS('Test Cases'!$B$2:$B$126,$A18,'Test Cases'!$I$2:$I$126,"Pass")</f>
        <v/>
      </c>
      <c r="D18" s="8">
        <f>COUNTIFS('Test Cases'!$B$2:$B$126,$A18,'Test Cases'!$I$2:$I$126,"Fail")</f>
        <v/>
      </c>
      <c r="E18" s="8">
        <f>B18-C18-D18</f>
        <v/>
      </c>
      <c r="F18" s="9">
        <f>IF((C18+D18)=0,"",C18/(C18+D18))</f>
        <v/>
      </c>
    </row>
    <row r="19">
      <c r="A19" s="10" t="inlineStr">
        <is>
          <t>Control Plane</t>
        </is>
      </c>
      <c r="B19" s="11">
        <f>COUNTIF('Test Cases'!$B$2:$B$126,$A19)</f>
        <v/>
      </c>
      <c r="C19" s="11">
        <f>COUNTIFS('Test Cases'!$B$2:$B$126,$A19,'Test Cases'!$I$2:$I$126,"Pass")</f>
        <v/>
      </c>
      <c r="D19" s="11">
        <f>COUNTIFS('Test Cases'!$B$2:$B$126,$A19,'Test Cases'!$I$2:$I$126,"Fail")</f>
        <v/>
      </c>
      <c r="E19" s="11">
        <f>B19-C19-D19</f>
        <v/>
      </c>
      <c r="F19" s="12">
        <f>IF((C19+D19)=0,"",C19/(C19+D19))</f>
        <v/>
      </c>
    </row>
    <row r="20">
      <c r="A20" s="7" t="inlineStr">
        <is>
          <t>Reporting</t>
        </is>
      </c>
      <c r="B20" s="8">
        <f>COUNTIF('Test Cases'!$B$2:$B$126,$A20)</f>
        <v/>
      </c>
      <c r="C20" s="8">
        <f>COUNTIFS('Test Cases'!$B$2:$B$126,$A20,'Test Cases'!$I$2:$I$126,"Pass")</f>
        <v/>
      </c>
      <c r="D20" s="8">
        <f>COUNTIFS('Test Cases'!$B$2:$B$126,$A20,'Test Cases'!$I$2:$I$126,"Fail")</f>
        <v/>
      </c>
      <c r="E20" s="8">
        <f>B20-C20-D20</f>
        <v/>
      </c>
      <c r="F20" s="9">
        <f>IF((C20+D20)=0,"",C20/(C20+D20))</f>
        <v/>
      </c>
    </row>
    <row r="21">
      <c r="A21" s="10" t="inlineStr">
        <is>
          <t>Notifications</t>
        </is>
      </c>
      <c r="B21" s="11">
        <f>COUNTIF('Test Cases'!$B$2:$B$126,$A21)</f>
        <v/>
      </c>
      <c r="C21" s="11">
        <f>COUNTIFS('Test Cases'!$B$2:$B$126,$A21,'Test Cases'!$I$2:$I$126,"Pass")</f>
        <v/>
      </c>
      <c r="D21" s="11">
        <f>COUNTIFS('Test Cases'!$B$2:$B$126,$A21,'Test Cases'!$I$2:$I$126,"Fail")</f>
        <v/>
      </c>
      <c r="E21" s="11">
        <f>B21-C21-D21</f>
        <v/>
      </c>
      <c r="F21" s="12">
        <f>IF((C21+D21)=0,"",C21/(C21+D21))</f>
        <v/>
      </c>
    </row>
    <row r="22">
      <c r="A22" s="7" t="inlineStr">
        <is>
          <t>Synthetic Tables</t>
        </is>
      </c>
      <c r="B22" s="8">
        <f>COUNTIF('Test Cases'!$B$2:$B$126,$A22)</f>
        <v/>
      </c>
      <c r="C22" s="8">
        <f>COUNTIFS('Test Cases'!$B$2:$B$126,$A22,'Test Cases'!$I$2:$I$126,"Pass")</f>
        <v/>
      </c>
      <c r="D22" s="8">
        <f>COUNTIFS('Test Cases'!$B$2:$B$126,$A22,'Test Cases'!$I$2:$I$126,"Fail")</f>
        <v/>
      </c>
      <c r="E22" s="8">
        <f>B22-C22-D22</f>
        <v/>
      </c>
      <c r="F22" s="9">
        <f>IF((C22+D22)=0,"",C22/(C22+D22))</f>
        <v/>
      </c>
    </row>
    <row r="23">
      <c r="A23" s="10" t="inlineStr">
        <is>
          <t>EC2 / Deploy</t>
        </is>
      </c>
      <c r="B23" s="11">
        <f>COUNTIF('Test Cases'!$B$2:$B$126,$A23)</f>
        <v/>
      </c>
      <c r="C23" s="11">
        <f>COUNTIFS('Test Cases'!$B$2:$B$126,$A23,'Test Cases'!$I$2:$I$126,"Pass")</f>
        <v/>
      </c>
      <c r="D23" s="11">
        <f>COUNTIFS('Test Cases'!$B$2:$B$126,$A23,'Test Cases'!$I$2:$I$126,"Fail")</f>
        <v/>
      </c>
      <c r="E23" s="11">
        <f>B23-C23-D23</f>
        <v/>
      </c>
      <c r="F23" s="12">
        <f>IF((C23+D23)=0,"",C23/(C23+D23))</f>
        <v/>
      </c>
    </row>
  </sheetData>
  <mergeCells count="2">
    <mergeCell ref="A2:F2"/>
    <mergeCell ref="A1:F1"/>
  </mergeCells>
  <conditionalFormatting sqref="F5:F23">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34" customWidth="1" min="3" max="3"/>
    <col width="46" customWidth="1" min="4" max="4"/>
    <col width="34" customWidth="1" min="5" max="5"/>
    <col width="50" customWidth="1" min="6" max="6"/>
    <col width="44" customWidth="1" min="7" max="7"/>
    <col width="26" customWidth="1" min="8" max="8"/>
    <col width="12" customWidth="1" min="9" max="9"/>
    <col width="22" customWidth="1" min="10" max="10"/>
  </cols>
  <sheetData>
    <row r="1" ht="30" customHeight="1">
      <c r="A1" s="13" t="inlineStr">
        <is>
          <t>ID</t>
        </is>
      </c>
      <c r="B1" s="13" t="inlineStr">
        <is>
          <t>Category</t>
        </is>
      </c>
      <c r="C1" s="13" t="inlineStr">
        <is>
          <t>Test Case</t>
        </is>
      </c>
      <c r="D1" s="13" t="inlineStr">
        <is>
          <t>What This Checks</t>
        </is>
      </c>
      <c r="E1" s="13" t="inlineStr">
        <is>
          <t>Before You Start</t>
        </is>
      </c>
      <c r="F1" s="13" t="inlineStr">
        <is>
          <t>Steps</t>
        </is>
      </c>
      <c r="G1" s="13" t="inlineStr">
        <is>
          <t>What Should Happen</t>
        </is>
      </c>
      <c r="H1" s="13" t="inlineStr">
        <is>
          <t>Environment</t>
        </is>
      </c>
      <c r="I1" s="13" t="inlineStr">
        <is>
          <t>Pass/Fail</t>
        </is>
      </c>
      <c r="J1" s="13" t="inlineStr">
        <is>
          <t>Notes</t>
        </is>
      </c>
    </row>
    <row r="2" ht="48" customHeight="1">
      <c r="A2" s="14" t="inlineStr">
        <is>
          <t>SMK-01</t>
        </is>
      </c>
      <c r="B2" s="14" t="inlineStr">
        <is>
          <t>Smoke Test</t>
        </is>
      </c>
      <c r="C2" s="14" t="inlineStr">
        <is>
          <t>AWS smoke test passes (aws_local)</t>
        </is>
      </c>
      <c r="D2" s="14" t="inlineStr">
        <is>
          <t>Checks that Zamboni can reach every AWS service it needs (Glue, Athena, S3, SNS, DynamoDB) plus its own database.</t>
        </is>
      </c>
      <c r="E2" s="14" t="inlineStr">
        <is>
          <t>.env.aws_local is set up. You have run aws sso login (or the setup script).</t>
        </is>
      </c>
      <c r="F2" s="14" t="inlineStr">
        <is>
          <t>Run: python scripts/aws_smoke_test.py --create-lock-table --init-control-plane-db</t>
        </is>
      </c>
      <c r="G2" s="14" t="inlineStr">
        <is>
          <t>All 8 checks say PASS. Exit code is 0. Last line says 'All checks PASSED or SKIPPED cleanly.'</t>
        </is>
      </c>
      <c r="H2" s="14" t="inlineStr">
        <is>
          <t>aws_local</t>
        </is>
      </c>
      <c r="I2" s="14" t="inlineStr"/>
      <c r="J2" s="14" t="inlineStr"/>
    </row>
    <row r="3" ht="48" customHeight="1">
      <c r="A3" s="15" t="inlineStr">
        <is>
          <t>SMK-02</t>
        </is>
      </c>
      <c r="B3" s="15" t="inlineStr">
        <is>
          <t>Smoke Test</t>
        </is>
      </c>
      <c r="C3" s="15" t="inlineStr">
        <is>
          <t>AWS smoke test passes on the real EC2 server</t>
        </is>
      </c>
      <c r="D3" s="15" t="inlineStr">
        <is>
          <t>Same checks as SMK-01, run from the real EC2 server using its own permissions.</t>
        </is>
      </c>
      <c r="E3" s="15" t="inlineStr">
        <is>
          <t>App is deployed to EC2. The .env file points the database at /data/zamboni/zamboni_control.db.</t>
        </is>
      </c>
      <c r="F3" s="15" t="inlineStr">
        <is>
          <t>Log into the server (SSM or SSH). Run: cd /opt/zamboni &amp;&amp; .venv/bin/python scripts/aws_smoke_test.py --json</t>
        </is>
      </c>
      <c r="G3" s="15" t="inlineStr">
        <is>
          <t>The database check passes because the path starts with /data/zamboni, not /opt/zamboni. All other checks pass too.</t>
        </is>
      </c>
      <c r="H3" s="15" t="inlineStr">
        <is>
          <t>aws_ec2</t>
        </is>
      </c>
      <c r="I3" s="15" t="inlineStr"/>
      <c r="J3" s="15" t="inlineStr"/>
    </row>
    <row r="4" ht="48" customHeight="1">
      <c r="A4" s="14" t="inlineStr">
        <is>
          <t>SMK-03</t>
        </is>
      </c>
      <c r="B4" s="14" t="inlineStr">
        <is>
          <t>Smoke Test</t>
        </is>
      </c>
      <c r="C4" s="14" t="inlineStr">
        <is>
          <t>Smoke test blocks a database path inside /opt/zamboni</t>
        </is>
      </c>
      <c r="D4" s="14" t="inlineStr">
        <is>
          <t>Checks that Zamboni refuses to start if its database is stored in a folder that gets wiped on every deploy.</t>
        </is>
      </c>
      <c r="E4" s="14" t="inlineStr">
        <is>
          <t>Running on EC2.</t>
        </is>
      </c>
      <c r="F4" s="14" t="inlineStr">
        <is>
          <t>In the shell only (do not edit the real .env file), set:
ZAMBONI_CONTROL_PLANE_DB=/opt/zamboni/zamboni_control.db
Then run: python scripts/aws_smoke_test.py
Undo the change afterward.</t>
        </is>
      </c>
      <c r="G4" s="14" t="inlineStr">
        <is>
          <t>The database check FAILS with a clear warning about /opt/zamboni. The whole command exits with an error.</t>
        </is>
      </c>
      <c r="H4" s="14" t="inlineStr">
        <is>
          <t>aws_ec2</t>
        </is>
      </c>
      <c r="I4" s="14" t="inlineStr"/>
      <c r="J4" s="14" t="inlineStr"/>
    </row>
    <row r="5" ht="48" customHeight="1">
      <c r="A5" s="15" t="inlineStr">
        <is>
          <t>SMK-04</t>
        </is>
      </c>
      <c r="B5" s="15" t="inlineStr">
        <is>
          <t>Smoke Test</t>
        </is>
      </c>
      <c r="C5" s="15" t="inlineStr">
        <is>
          <t>Lock table creation is safe to repeat</t>
        </is>
      </c>
      <c r="D5" s="15" t="inlineStr">
        <is>
          <t>Checks that the lock table (stops two jobs touching the same table at once) is created safely, and running the setup twice does not break anything.</t>
        </is>
      </c>
      <c r="E5" s="15" t="inlineStr">
        <is>
          <t>None.</t>
        </is>
      </c>
      <c r="F5" s="15" t="inlineStr">
        <is>
          <t>Run: python scripts/aws_smoke_test.py --create-lock-table
Run it again a second time.
Then: aws dynamodb describe-table --table-name zamboni_maintenance_locks</t>
        </is>
      </c>
      <c r="G5" s="15" t="inlineStr">
        <is>
          <t>The table exists with the right key and a TTL setting. The second run just says it already exists.</t>
        </is>
      </c>
      <c r="H5" s="15" t="inlineStr">
        <is>
          <t>Both</t>
        </is>
      </c>
      <c r="I5" s="15" t="inlineStr"/>
      <c r="J5" s="15" t="inlineStr"/>
    </row>
    <row r="6" ht="48" customHeight="1">
      <c r="A6" s="14" t="inlineStr">
        <is>
          <t>SMK-05</t>
        </is>
      </c>
      <c r="B6" s="14" t="inlineStr">
        <is>
          <t>Smoke Test</t>
        </is>
      </c>
      <c r="C6" s="14" t="inlineStr">
        <is>
          <t>Old leftover AWS keys don't block real login</t>
        </is>
      </c>
      <c r="D6" s="14" t="inlineStr">
        <is>
          <t>Checks that an old, expired AWS key sitting in your terminal does not stop Zamboni from using your real login.</t>
        </is>
      </c>
      <c r="E6" s="14" t="inlineStr">
        <is>
          <t>Working from a laptop (aws_local mode).</t>
        </is>
      </c>
      <c r="F6" s="14" t="inlineStr">
        <is>
          <t>Set a fake/old AWS_ACCESS_KEY_ID and AWS_SECRET_ACCESS_KEY in your shell.
Run: python scripts/aws_smoke_test.py</t>
        </is>
      </c>
      <c r="G6" s="14" t="inlineStr">
        <is>
          <t>The identity check still PASSES, using your real SSO login, not the old fake keys.</t>
        </is>
      </c>
      <c r="H6" s="14" t="inlineStr">
        <is>
          <t>aws_local</t>
        </is>
      </c>
      <c r="I6" s="14" t="inlineStr"/>
      <c r="J6" s="14" t="inlineStr"/>
    </row>
    <row r="7" ht="48" customHeight="1">
      <c r="A7" s="15" t="inlineStr">
        <is>
          <t>SMK-06</t>
        </is>
      </c>
      <c r="B7" s="15" t="inlineStr">
        <is>
          <t>Smoke Test</t>
        </is>
      </c>
      <c r="C7" s="15" t="inlineStr">
        <is>
          <t>Database setup can run more than once safely</t>
        </is>
      </c>
      <c r="D7" s="15" t="inlineStr">
        <is>
          <t>Checks that setting up the database is safe to run again without causing errors.</t>
        </is>
      </c>
      <c r="E7" s="15" t="inlineStr">
        <is>
          <t>None.</t>
        </is>
      </c>
      <c r="F7" s="15" t="inlineStr">
        <is>
          <t>Run: python scripts/init_control_plane_db.py
Run it again right after.</t>
        </is>
      </c>
      <c r="G7" s="15" t="inlineStr">
        <is>
          <t>First run says some updates were applied. Second run says 0 new updates and confirms everything looks correct.</t>
        </is>
      </c>
      <c r="H7" s="15" t="inlineStr">
        <is>
          <t>Both</t>
        </is>
      </c>
      <c r="I7" s="15" t="inlineStr"/>
      <c r="J7" s="15" t="inlineStr"/>
    </row>
    <row r="8" ht="48" customHeight="1">
      <c r="A8" s="14" t="inlineStr">
        <is>
          <t>REG-01</t>
        </is>
      </c>
      <c r="B8" s="14" t="inlineStr">
        <is>
          <t>Table Registration</t>
        </is>
      </c>
      <c r="C8" s="14" t="inlineStr">
        <is>
          <t>Discover finds only real Iceberg tables</t>
        </is>
      </c>
      <c r="D8" s="14" t="inlineStr">
        <is>
          <t>Checks that scanning a database only picks up real Iceberg tables and skips other table types.</t>
        </is>
      </c>
      <c r="E8" s="14" t="inlineStr">
        <is>
          <t>A Glue database with at least one Iceberg table (use the test-table script if you don't have one).</t>
        </is>
      </c>
      <c r="F8" s="14" t="inlineStr">
        <is>
          <t>Run: python -m engine.cli.register discover --db &lt;database&gt; --out test_manifest.yaml</t>
        </is>
      </c>
      <c r="G8" s="14" t="inlineStr">
        <is>
          <t>The counts on screen are correct. The output file lists only the Iceberg tables, each with sensible defaults.</t>
        </is>
      </c>
      <c r="H8" s="14" t="inlineStr">
        <is>
          <t>Both</t>
        </is>
      </c>
      <c r="I8" s="14" t="inlineStr"/>
      <c r="J8" s="14" t="inlineStr"/>
    </row>
    <row r="9" ht="48" customHeight="1">
      <c r="A9" s="15" t="inlineStr">
        <is>
          <t>REG-02</t>
        </is>
      </c>
      <c r="B9" s="15" t="inlineStr">
        <is>
          <t>Table Registration</t>
        </is>
      </c>
      <c r="C9" s="15" t="inlineStr">
        <is>
          <t>Bulk register dry run changes nothing</t>
        </is>
      </c>
      <c r="D9" s="15" t="inlineStr">
        <is>
          <t>Checks that a dry run of bulk registration does not change the database.</t>
        </is>
      </c>
      <c r="E9" s="15" t="inlineStr">
        <is>
          <t>You have the file from REG-01.</t>
        </is>
      </c>
      <c r="F9" s="15" t="inlineStr">
        <is>
          <t>Run: python -m engine.cli.register bulk --manifest test_manifest.yaml (dry run is the default).
Then check: SELECT COUNT(*) FROM stream_registry WHERE table_fqn LIKE 'glue_catalog.&lt;db&gt;.%'</t>
        </is>
      </c>
      <c r="G9" s="15" t="inlineStr">
        <is>
          <t>Screen shows 'DRY RUN' for each table. No new rows appear in the database.</t>
        </is>
      </c>
      <c r="H9" s="15" t="inlineStr">
        <is>
          <t>Both</t>
        </is>
      </c>
      <c r="I9" s="15" t="inlineStr"/>
      <c r="J9" s="15" t="inlineStr"/>
    </row>
    <row r="10" ht="48" customHeight="1">
      <c r="A10" s="14" t="inlineStr">
        <is>
          <t>REG-03</t>
        </is>
      </c>
      <c r="B10" s="14" t="inlineStr">
        <is>
          <t>Table Registration</t>
        </is>
      </c>
      <c r="C10" s="14" t="inlineStr">
        <is>
          <t>Bulk register for real saves the tables</t>
        </is>
      </c>
      <c r="D10" s="14" t="inlineStr">
        <is>
          <t>Checks that a real (non-dry-run) bulk registration actually saves the tables and applies a policy.</t>
        </is>
      </c>
      <c r="E10" s="14" t="inlineStr">
        <is>
          <t>REG-02 is done.</t>
        </is>
      </c>
      <c r="F10" s="14" t="inlineStr">
        <is>
          <t>Run: python -m engine.cli.register bulk --manifest test_manifest.yaml --no-dry-run (confirm yes).
Check stream_registry and hk_config for the new tables.</t>
        </is>
      </c>
      <c r="G10" s="14" t="inlineStr">
        <is>
          <t>Screen shows 'REGISTERED'. Each table now has one row in stream_registry and one matching row in hk_config.</t>
        </is>
      </c>
      <c r="H10" s="14" t="inlineStr">
        <is>
          <t>Both</t>
        </is>
      </c>
      <c r="I10" s="14" t="inlineStr"/>
      <c r="J10" s="14" t="inlineStr"/>
    </row>
    <row r="11" ht="48" customHeight="1">
      <c r="A11" s="15" t="inlineStr">
        <is>
          <t>REG-04</t>
        </is>
      </c>
      <c r="B11" s="15" t="inlineStr">
        <is>
          <t>Table Registration</t>
        </is>
      </c>
      <c r="C11" s="15" t="inlineStr">
        <is>
          <t>Registering the same table twice does not duplicate it</t>
        </is>
      </c>
      <c r="D11" s="15" t="inlineStr">
        <is>
          <t>Checks that registering the same table twice does not create duplicate rows.</t>
        </is>
      </c>
      <c r="E11" s="15" t="inlineStr">
        <is>
          <t>REG-03 is done.</t>
        </is>
      </c>
      <c r="F11" s="15" t="inlineStr">
        <is>
          <t>Run the exact same command again: python -m engine.cli.register bulk --manifest test_manifest.yaml --no-dry-run</t>
        </is>
      </c>
      <c r="G11" s="15" t="inlineStr">
        <is>
          <t>Screen shows 'SKIP (already registered)' for every table. No extra rows are added.</t>
        </is>
      </c>
      <c r="H11" s="15" t="inlineStr">
        <is>
          <t>Both</t>
        </is>
      </c>
      <c r="I11" s="15" t="inlineStr"/>
      <c r="J11" s="15" t="inlineStr"/>
    </row>
    <row r="12" ht="48" customHeight="1">
      <c r="A12" s="14" t="inlineStr">
        <is>
          <t>REG-05</t>
        </is>
      </c>
      <c r="B12" s="14" t="inlineStr">
        <is>
          <t>Table Registration</t>
        </is>
      </c>
      <c r="C12" s="14" t="inlineStr">
        <is>
          <t>Registering one table picks a sensible policy automatically</t>
        </is>
      </c>
      <c r="D12" s="14" t="inlineStr">
        <is>
          <t>Checks that registering one table on its own picks a sensible policy template automatically.</t>
        </is>
      </c>
      <c r="E12" s="14" t="inlineStr">
        <is>
          <t>A table Glue knows about that Zamboni hasn't registered yet.</t>
        </is>
      </c>
      <c r="F12" s="14" t="inlineStr">
        <is>
          <t>Run: python -m engine.cli.register single --table &lt;fqn&gt; --domain &lt;domain&gt; --layer staging --tier standard --no-dry-run</t>
        </is>
      </c>
      <c r="G12" s="14" t="inlineStr">
        <is>
          <t>Screen shows the template it picked. hk_config has a row with that template's settings.</t>
        </is>
      </c>
      <c r="H12" s="14" t="inlineStr">
        <is>
          <t>Both</t>
        </is>
      </c>
      <c r="I12" s="14" t="inlineStr"/>
      <c r="J12" s="14" t="inlineStr"/>
    </row>
    <row r="13" ht="48" customHeight="1">
      <c r="A13" s="15" t="inlineStr">
        <is>
          <t>REG-06</t>
        </is>
      </c>
      <c r="B13" s="15" t="inlineStr">
        <is>
          <t>Table Registration</t>
        </is>
      </c>
      <c r="C13" s="15" t="inlineStr">
        <is>
          <t>Status command matches reality</t>
        </is>
      </c>
      <c r="D13" s="15" t="inlineStr">
        <is>
          <t>Checks that the status command accurately shows what's registered and what isn't.</t>
        </is>
      </c>
      <c r="E13" s="15" t="inlineStr">
        <is>
          <t>A database with some tables registered and some not.</t>
        </is>
      </c>
      <c r="F13" s="15" t="inlineStr">
        <is>
          <t>Run: python -m engine.cli.register status --db &lt;database&gt;</t>
        </is>
      </c>
      <c r="G13" s="15" t="inlineStr">
        <is>
          <t>'Registered' and 'Unregistered' counts add up to the real number of Iceberg tables. The unregistered list is correct.</t>
        </is>
      </c>
      <c r="H13" s="15" t="inlineStr">
        <is>
          <t>Both</t>
        </is>
      </c>
      <c r="I13" s="15" t="inlineStr"/>
      <c r="J13" s="15" t="inlineStr"/>
    </row>
    <row r="14" ht="48" customHeight="1">
      <c r="A14" s="14" t="inlineStr">
        <is>
          <t>REG-07</t>
        </is>
      </c>
      <c r="B14" s="14" t="inlineStr">
        <is>
          <t>Table Registration</t>
        </is>
      </c>
      <c r="C14" s="14" t="inlineStr">
        <is>
          <t>Enable/disable HK for a domain works, dry run first</t>
        </is>
      </c>
      <c r="D14" s="14" t="inlineStr">
        <is>
          <t>Checks that turning housekeeping on or off for a whole domain works, and a dry run changes nothing first.</t>
        </is>
      </c>
      <c r="E14" s="14" t="inlineStr">
        <is>
          <t>Some tables registered under a test domain.</t>
        </is>
      </c>
      <c r="F14" s="14" t="inlineStr">
        <is>
          <t>Run: python -m engine.cli.enable --domain &lt;domain&gt; --layer staging (dry run, check the preview looks right).
Run again with --no-dry-run (confirm).
Check: SELECT table_fqn, hk_enabled FROM stream_registry WHERE domain='&lt;domain&gt;'</t>
        </is>
      </c>
      <c r="G14" s="14" t="inlineStr">
        <is>
          <t>The dry run changes nothing. The real run turns hk_enabled on for every matching table.</t>
        </is>
      </c>
      <c r="H14" s="14" t="inlineStr">
        <is>
          <t>Both</t>
        </is>
      </c>
      <c r="I14" s="14" t="inlineStr"/>
      <c r="J14" s="14" t="inlineStr"/>
    </row>
    <row r="15" ht="48" customHeight="1">
      <c r="A15" s="15" t="inlineStr">
        <is>
          <t>REG-08</t>
        </is>
      </c>
      <c r="B15" s="15" t="inlineStr">
        <is>
          <t>Table Registration</t>
        </is>
      </c>
      <c r="C15" s="15" t="inlineStr">
        <is>
          <t>A future start date puts a table into safe trial mode</t>
        </is>
      </c>
      <c r="D15" s="15" t="inlineStr">
        <is>
          <t>Checks that setting a future start date puts a table into a safe trial period without fully turning housekeeping on.</t>
        </is>
      </c>
      <c r="E15" s="15" t="inlineStr">
        <is>
          <t>A registered table.</t>
        </is>
      </c>
      <c r="F15" s="15" t="inlineStr">
        <is>
          <t>Run: python -m engine.cli.enable --table &lt;fqn&gt; --dry-run-until 2026-08-01 --no-dry-run</t>
        </is>
      </c>
      <c r="G15" s="15" t="inlineStr">
        <is>
          <t>The table's dry_run_until date is set. hk_enabled stays as it was. A run before that date only simulates -- it makes no real changes.</t>
        </is>
      </c>
      <c r="H15" s="15" t="inlineStr">
        <is>
          <t>Both</t>
        </is>
      </c>
      <c r="I15" s="15" t="inlineStr"/>
      <c r="J15" s="15" t="inlineStr"/>
    </row>
    <row r="16" ht="48" customHeight="1">
      <c r="A16" s="14" t="inlineStr">
        <is>
          <t>POL-01</t>
        </is>
      </c>
      <c r="B16" s="14" t="inlineStr">
        <is>
          <t>Policy Config</t>
        </is>
      </c>
      <c r="C16" s="14" t="inlineStr">
        <is>
          <t>Applying a template fills in the right settings</t>
        </is>
      </c>
      <c r="D16" s="14" t="inlineStr">
        <is>
          <t>Checks that applying a policy template fills in the correct settings for a table.</t>
        </is>
      </c>
      <c r="E16" s="14" t="inlineStr">
        <is>
          <t>A registered table with no policy set up yet.</t>
        </is>
      </c>
      <c r="F16" s="14" t="inlineStr">
        <is>
          <t>In a Python shell:
from engine.core.config import apply_template
apply_template(table_fqn='&lt;fqn&gt;', template_name='STAGING_DEFAULT', dry_run=False)
Then check the hk_config row.</t>
        </is>
      </c>
      <c r="G16" s="14" t="inlineStr">
        <is>
          <t>The table's gates, schedule, and compaction settings match the STAGING_DEFAULT template exactly.</t>
        </is>
      </c>
      <c r="H16" s="14" t="inlineStr">
        <is>
          <t>Both</t>
        </is>
      </c>
      <c r="I16" s="14" t="inlineStr"/>
      <c r="J16" s="14" t="inlineStr"/>
    </row>
    <row r="17" ht="48" customHeight="1">
      <c r="A17" s="15" t="inlineStr">
        <is>
          <t>POL-02</t>
        </is>
      </c>
      <c r="B17" s="15" t="inlineStr">
        <is>
          <t>Policy Config</t>
        </is>
      </c>
      <c r="C17" s="15" t="inlineStr">
        <is>
          <t>Sort columns are saved as plain text</t>
        </is>
      </c>
      <c r="D17" s="15" t="inlineStr">
        <is>
          <t>Checks that the list of sort columns is saved correctly as plain text (an older bug saved it in a format the database couldn't read).</t>
        </is>
      </c>
      <c r="E17" s="15" t="inlineStr">
        <is>
          <t>A template or table using sort or zorder compaction, with sort columns set.</t>
        </is>
      </c>
      <c r="F17" s="15" t="inlineStr">
        <is>
          <t>Apply a template with sort_columns set to two column names on a table.
Check: SELECT sort_order_cols FROM hk_config WHERE table_fqn='&lt;fqn&gt;'</t>
        </is>
      </c>
      <c r="G17" s="15" t="inlineStr">
        <is>
          <t>The value is plain comma-separated text. The save does not fail.</t>
        </is>
      </c>
      <c r="H17" s="15" t="inlineStr">
        <is>
          <t>Both</t>
        </is>
      </c>
      <c r="I17" s="15" t="inlineStr"/>
      <c r="J17" s="15" t="inlineStr"/>
    </row>
    <row r="18" ht="48" customHeight="1">
      <c r="A18" s="14" t="inlineStr">
        <is>
          <t>POL-03</t>
        </is>
      </c>
      <c r="B18" s="14" t="inlineStr">
        <is>
          <t>Policy Config</t>
        </is>
      </c>
      <c r="C18" s="14" t="inlineStr">
        <is>
          <t>Manual override has a time limit and is logged</t>
        </is>
      </c>
      <c r="D18" s="14" t="inlineStr">
        <is>
          <t>Checks that a manual override (to skip the conflict check for a short time) has a maximum length and is logged.</t>
        </is>
      </c>
      <c r="E18" s="14" t="inlineStr">
        <is>
          <t>A registered table.</t>
        </is>
      </c>
      <c r="F18" s="14" t="inlineStr">
        <is>
          <t>Set an override on the table for 2 hours, with a reason and your name.
Run: python -m engine.scripts.run_hk --table &lt;fqn&gt; --no-dry-run</t>
        </is>
      </c>
      <c r="G18" s="14" t="inlineStr">
        <is>
          <t>The log shows the override was used, with your reason and name. The run skips the live conflict check while it's active. An override set further out than the allowed limit gets shortened, not rejected.</t>
        </is>
      </c>
      <c r="H18" s="14" t="inlineStr">
        <is>
          <t>Both</t>
        </is>
      </c>
      <c r="I18" s="14" t="inlineStr"/>
      <c r="J18" s="14" t="inlineStr"/>
    </row>
    <row r="19" ht="48" customHeight="1">
      <c r="A19" s="15" t="inlineStr">
        <is>
          <t>POL-04</t>
        </is>
      </c>
      <c r="B19" s="15" t="inlineStr">
        <is>
          <t>Policy Config</t>
        </is>
      </c>
      <c r="C19" s="15" t="inlineStr">
        <is>
          <t>Busy tables get a safer retention floor than quiet ones</t>
        </is>
      </c>
      <c r="D19" s="15" t="inlineStr">
        <is>
          <t>Checks that busy tables (lots of writes per day) get a shorter, safer snapshot-retention floor than quiet tables.</t>
        </is>
      </c>
      <c r="E19" s="15" t="inlineStr">
        <is>
          <t>A table with a known write pattern, or a test table with many recent inserts.</t>
        </is>
      </c>
      <c r="F19" s="15" t="inlineStr">
        <is>
          <t>In a Python shell:
from engine.core.commit_frequency import get_commit_stats
print(get_commit_stats('&lt;fqn&gt;'))</t>
        </is>
      </c>
      <c r="G19" s="15" t="inlineStr">
        <is>
          <t>The tier (HIGH, MEDIUM, or LOW) matches how often the table is really written to. Vacuum never sets a retention floor shorter than that tier allows.</t>
        </is>
      </c>
      <c r="H19" s="15" t="inlineStr">
        <is>
          <t>Both</t>
        </is>
      </c>
      <c r="I19" s="15" t="inlineStr"/>
      <c r="J19" s="15" t="inlineStr"/>
    </row>
    <row r="20" ht="48" customHeight="1">
      <c r="A20" s="14" t="inlineStr">
        <is>
          <t>POL-05</t>
        </is>
      </c>
      <c r="B20" s="14" t="inlineStr">
        <is>
          <t>Policy Config</t>
        </is>
      </c>
      <c r="C20" s="14" t="inlineStr">
        <is>
          <t>Dry-run preview shows the correct plan</t>
        </is>
      </c>
      <c r="D20" s="14" t="inlineStr">
        <is>
          <t>Checks that the dry-run preview command shows the correct plan without changing anything.</t>
        </is>
      </c>
      <c r="E20" s="14" t="inlineStr">
        <is>
          <t>A domain with a mix of tables that would run and tables that would be skipped.</t>
        </is>
      </c>
      <c r="F20" s="14" t="inlineStr">
        <is>
          <t>Run: python -m engine.cli.dry_run --domain &lt;domain&gt; --verbose</t>
        </is>
      </c>
      <c r="G20" s="14" t="inlineStr">
        <is>
          <t>Each table's gate results and run/skip verdict match its real settings. The SQL preview shown is valid Athena SQL. Nothing in the database changes.</t>
        </is>
      </c>
      <c r="H20" s="14" t="inlineStr">
        <is>
          <t>Both</t>
        </is>
      </c>
      <c r="I20" s="14" t="inlineStr"/>
      <c r="J20" s="14" t="inlineStr"/>
    </row>
    <row r="21" ht="48" customHeight="1">
      <c r="A21" s="15" t="inlineStr">
        <is>
          <t>POL-06</t>
        </is>
      </c>
      <c r="B21" s="15" t="inlineStr">
        <is>
          <t>Policy Config</t>
        </is>
      </c>
      <c r="C21" s="15" t="inlineStr">
        <is>
          <t>A self-conflicting schedule is rejected</t>
        </is>
      </c>
      <c r="D21" s="15" t="inlineStr">
        <is>
          <t>Checks that you can't save a schedule that blocks its own start time.</t>
        </is>
      </c>
      <c r="E21" s="15" t="inlineStr">
        <is>
          <t>None.</t>
        </is>
      </c>
      <c r="F21" s="15" t="inlineStr">
        <is>
          <t>Try to save a schedule that starts at 07:00 with a blocked window of 06:00-09:00, using the Policy page or PUT /api/policies/{fqn}.</t>
        </is>
      </c>
      <c r="G21" s="15" t="inlineStr">
        <is>
          <t>The save is rejected with a clear error. Nothing is saved.</t>
        </is>
      </c>
      <c r="H21" s="15" t="inlineStr">
        <is>
          <t>Both</t>
        </is>
      </c>
      <c r="I21" s="15" t="inlineStr"/>
      <c r="J21" s="15" t="inlineStr"/>
    </row>
    <row r="22" ht="48" customHeight="1">
      <c r="A22" s="14" t="inlineStr">
        <is>
          <t>GT0-01</t>
        </is>
      </c>
      <c r="B22" s="14" t="inlineStr">
        <is>
          <t>Gate 0 (Conflict + Lock)</t>
        </is>
      </c>
      <c r="C22" s="14" t="inlineStr">
        <is>
          <t>Zamboni detects AWS's own auto-optimizer running</t>
        </is>
      </c>
      <c r="D22" s="14" t="inlineStr">
        <is>
          <t>Checks that Zamboni notices when AWS's own auto-optimizer is already turned on for a table, which would conflict with Zamboni's own housekeeping.</t>
        </is>
      </c>
      <c r="E22" s="14" t="inlineStr">
        <is>
          <t>Turn on one AWS Glue table optimizer (for example, compaction) on a test table, using the AWS Glue console.</t>
        </is>
      </c>
      <c r="F22" s="14" t="inlineStr">
        <is>
          <t>In a Python shell:
from engine.core.conflict_detector import check_table
print(check_table('&lt;fqn&gt;'))</t>
        </is>
      </c>
      <c r="G22" s="14" t="inlineStr">
        <is>
          <t>The result says conflict=True and names which optimizer is on.</t>
        </is>
      </c>
      <c r="H22" s="14" t="inlineStr">
        <is>
          <t>Both</t>
        </is>
      </c>
      <c r="I22" s="14" t="inlineStr"/>
      <c r="J22" s="14" t="inlineStr"/>
    </row>
    <row r="23" ht="48" customHeight="1">
      <c r="A23" s="15" t="inlineStr">
        <is>
          <t>GT0-02</t>
        </is>
      </c>
      <c r="B23" s="15" t="inlineStr">
        <is>
          <t>Gate 0 (Conflict + Lock)</t>
        </is>
      </c>
      <c r="C23" s="15" t="inlineStr">
        <is>
          <t>A conflict check result is remembered for a while</t>
        </is>
      </c>
      <c r="D23" s="15" t="inlineStr">
        <is>
          <t>Checks that Zamboni reuses a recent conflict check instead of asking AWS again every time.</t>
        </is>
      </c>
      <c r="E23" s="15" t="inlineStr">
        <is>
          <t>GT0-01 was just run.</t>
        </is>
      </c>
      <c r="F23" s="15" t="inlineStr">
        <is>
          <t>Call the cached check again right away and compare the saved check-time before and after.</t>
        </is>
      </c>
      <c r="G23" s="15" t="inlineStr">
        <is>
          <t>The second call reuses the saved answer. The check-time does not change, meaning AWS was not asked again.</t>
        </is>
      </c>
      <c r="H23" s="15" t="inlineStr">
        <is>
          <t>Both</t>
        </is>
      </c>
      <c r="I23" s="15" t="inlineStr"/>
      <c r="J23" s="15" t="inlineStr"/>
    </row>
    <row r="24" ht="48" customHeight="1">
      <c r="A24" s="14" t="inlineStr">
        <is>
          <t>GT0-03</t>
        </is>
      </c>
      <c r="B24" s="14" t="inlineStr">
        <is>
          <t>Gate 0 (Conflict + Lock)</t>
        </is>
      </c>
      <c r="C24" s="14" t="inlineStr">
        <is>
          <t>Scanning many tables for conflicts is efficient</t>
        </is>
      </c>
      <c r="D24" s="14" t="inlineStr">
        <is>
          <t>Checks that scanning many tables for conflicts saves results in batches, not one save per table.</t>
        </is>
      </c>
      <c r="E24" s="14" t="inlineStr">
        <is>
          <t>More than 25 registered tables.</t>
        </is>
      </c>
      <c r="F24" s="14" t="inlineStr">
        <is>
          <t>In a Python shell:
from engine.core.conflict_detector import scan_fleet
print(scan_fleet())
Watch how many Athena queries run while it works.</t>
        </is>
      </c>
      <c r="G24" s="14" t="inlineStr">
        <is>
          <t>Roughly one save per 25 tables, not one per table. Every table's conflict flags are still updated correctly.</t>
        </is>
      </c>
      <c r="H24" s="14" t="inlineStr">
        <is>
          <t>Both</t>
        </is>
      </c>
      <c r="I24" s="14" t="inlineStr"/>
      <c r="J24" s="14" t="inlineStr"/>
    </row>
    <row r="25" ht="48" customHeight="1">
      <c r="A25" s="15" t="inlineStr">
        <is>
          <t>GT0-04</t>
        </is>
      </c>
      <c r="B25" s="15" t="inlineStr">
        <is>
          <t>Gate 0 (Conflict + Lock)</t>
        </is>
      </c>
      <c r="C25" s="15" t="inlineStr">
        <is>
          <t>A conflicting table is skipped by housekeeping</t>
        </is>
      </c>
      <c r="D25" s="15" t="inlineStr">
        <is>
          <t>Checks that housekeeping actually skips a table when AWS's own optimizer is already on for it.</t>
        </is>
      </c>
      <c r="E25" s="15" t="inlineStr">
        <is>
          <t>GT0-01's conflicting table. No active override.</t>
        </is>
      </c>
      <c r="F25" s="15" t="inlineStr">
        <is>
          <t>Run: python -m engine.scripts.run_hk --table &lt;fqn&gt; --no-dry-run</t>
        </is>
      </c>
      <c r="G25" s="15" t="inlineStr">
        <is>
          <t>The run exits normally. The log shows the table was skipped because of the AWS conflict. No compaction or vacuum ran.</t>
        </is>
      </c>
      <c r="H25" s="15" t="inlineStr">
        <is>
          <t>Both</t>
        </is>
      </c>
      <c r="I25" s="15" t="inlineStr"/>
      <c r="J25" s="15" t="inlineStr"/>
    </row>
    <row r="26" ht="48" customHeight="1">
      <c r="A26" s="14" t="inlineStr">
        <is>
          <t>GT0-05</t>
        </is>
      </c>
      <c r="B26" s="14" t="inlineStr">
        <is>
          <t>Gate 0 (Conflict + Lock)</t>
        </is>
      </c>
      <c r="C26" s="14" t="inlineStr">
        <is>
          <t>An override lets the run go ahead despite a conflict</t>
        </is>
      </c>
      <c r="D26" s="14" t="inlineStr">
        <is>
          <t>Checks that turning on an override lets the run go ahead even with a conflict present.</t>
        </is>
      </c>
      <c r="E26" s="14" t="inlineStr">
        <is>
          <t>The same conflicting table as GT0-04.</t>
        </is>
      </c>
      <c r="F26" s="14" t="inlineStr">
        <is>
          <t>Set an override 2 hours into the future, with a reason.
Run: python -m engine.scripts.run_hk --table &lt;fqn&gt; --no-dry-run</t>
        </is>
      </c>
      <c r="G26" s="14" t="inlineStr">
        <is>
          <t>The log shows the override was used, with your reason. The run moves on to the next checks instead of skipping.</t>
        </is>
      </c>
      <c r="H26" s="14" t="inlineStr">
        <is>
          <t>Both</t>
        </is>
      </c>
      <c r="I26" s="14" t="inlineStr"/>
      <c r="J26" s="14" t="inlineStr"/>
    </row>
    <row r="27" ht="48" customHeight="1">
      <c r="A27" s="15" t="inlineStr">
        <is>
          <t>GT0-06</t>
        </is>
      </c>
      <c r="B27" s="15" t="inlineStr">
        <is>
          <t>Gate 0 (Conflict + Lock)</t>
        </is>
      </c>
      <c r="C27" s="15" t="inlineStr">
        <is>
          <t>Only one process can hold a table's lock</t>
        </is>
      </c>
      <c r="D27" s="15" t="inlineStr">
        <is>
          <t>Checks that only one process can hold the lock on a table at a time.</t>
        </is>
      </c>
      <c r="E27" s="15" t="inlineStr">
        <is>
          <t>None.</t>
        </is>
      </c>
      <c r="F27" s="15" t="inlineStr">
        <is>
          <t>Window 1, Python shell:
from engine.core.lock_service import LockService
ls = LockService()
l = ls.acquire('&lt;fqn&gt;', 'test')
Window 2, at the same time:
LockService().acquire('&lt;fqn&gt;', 'test2')</t>
        </is>
      </c>
      <c r="G27" s="15" t="inlineStr">
        <is>
          <t>Window 1 gets the lock. Window 2 gets nothing back, because the lock is already held.</t>
        </is>
      </c>
      <c r="H27" s="15" t="inlineStr">
        <is>
          <t>Both</t>
        </is>
      </c>
      <c r="I27" s="15" t="inlineStr"/>
      <c r="J27" s="15" t="inlineStr"/>
    </row>
    <row r="28" ht="48" customHeight="1">
      <c r="A28" s="14" t="inlineStr">
        <is>
          <t>GT0-07</t>
        </is>
      </c>
      <c r="B28" s="14" t="inlineStr">
        <is>
          <t>Gate 0 (Conflict + Lock)</t>
        </is>
      </c>
      <c r="C28" s="14" t="inlineStr">
        <is>
          <t>An expired lock can be taken over</t>
        </is>
      </c>
      <c r="D28" s="14" t="inlineStr">
        <is>
          <t>Checks that a lock frees itself automatically once it times out, so a crashed job can't hold a table locked forever.</t>
        </is>
      </c>
      <c r="E28" s="14" t="inlineStr">
        <is>
          <t>A lock acquired with a very short timeout (ttl_min=0), or wait past the normal lock timeout.</t>
        </is>
      </c>
      <c r="F28" s="14" t="inlineStr">
        <is>
          <t>Get a very short-lived lock. Wait about a minute. From a second window, try to get the lock again.</t>
        </is>
      </c>
      <c r="G28" s="14" t="inlineStr">
        <is>
          <t>The second attempt succeeds once the first lock has expired.</t>
        </is>
      </c>
      <c r="H28" s="14" t="inlineStr">
        <is>
          <t>Both</t>
        </is>
      </c>
      <c r="I28" s="14" t="inlineStr"/>
      <c r="J28" s="14" t="inlineStr"/>
    </row>
    <row r="29" ht="48" customHeight="1">
      <c r="A29" s="15" t="inlineStr">
        <is>
          <t>GT0-08</t>
        </is>
      </c>
      <c r="B29" s="15" t="inlineStr">
        <is>
          <t>Gate 0 (Conflict + Lock)</t>
        </is>
      </c>
      <c r="C29" s="15" t="inlineStr">
        <is>
          <t>A long job keeps its lock alive the whole time</t>
        </is>
      </c>
      <c r="D29" s="15" t="inlineStr">
        <is>
          <t>Checks that a long-running job keeps its lock alive the whole time it's working, instead of losing it partway through.</t>
        </is>
      </c>
      <c r="E29" s="15" t="inlineStr">
        <is>
          <t>None.</t>
        </is>
      </c>
      <c r="F29" s="15" t="inlineStr">
        <is>
          <t>Get a lock, then start its heartbeat.
Wait a couple of minutes.
Check the lock's expiry time before and after.</t>
        </is>
      </c>
      <c r="G29" s="15" t="inlineStr">
        <is>
          <t>The expiry time keeps moving forward roughly every 60 seconds. A different process still cannot grab the lock the whole time.</t>
        </is>
      </c>
      <c r="H29" s="15" t="inlineStr">
        <is>
          <t>Both</t>
        </is>
      </c>
      <c r="I29" s="15" t="inlineStr"/>
      <c r="J29" s="15" t="inlineStr"/>
    </row>
    <row r="30" ht="48" customHeight="1">
      <c r="A30" s="14" t="inlineStr">
        <is>
          <t>GT0-09</t>
        </is>
      </c>
      <c r="B30" s="14" t="inlineStr">
        <is>
          <t>Gate 0 (Conflict + Lock)</t>
        </is>
      </c>
      <c r="C30" s="14" t="inlineStr">
        <is>
          <t>Losing the lock mid-run stops the job safely</t>
        </is>
      </c>
      <c r="D30" s="14" t="inlineStr">
        <is>
          <t>Checks that if a job loses its lock mid-run, it stops itself before doing anything destructive, instead of continuing unprotected.</t>
        </is>
      </c>
      <c r="E30" s="14" t="inlineStr">
        <is>
          <t>A housekeeping run in progress on a table.</t>
        </is>
      </c>
      <c r="F30" s="14" t="inlineStr">
        <is>
          <t>While the run is going, force-release its lock from another window (or call DELETE /api/locks/{fqn}) to simulate the lock being stolen. Watch what the first run does.</t>
        </is>
      </c>
      <c r="G30" s="14" t="inlineStr">
        <is>
          <t>The run fails safely as soon as it notices the lock is gone. It does not finish the vacuum, optimize, or delete step after that point.</t>
        </is>
      </c>
      <c r="H30" s="14" t="inlineStr">
        <is>
          <t>Both</t>
        </is>
      </c>
      <c r="I30" s="14" t="inlineStr"/>
      <c r="J30" s="14" t="inlineStr"/>
    </row>
    <row r="31" ht="48" customHeight="1">
      <c r="A31" s="15" t="inlineStr">
        <is>
          <t>GT0-10</t>
        </is>
      </c>
      <c r="B31" s="15" t="inlineStr">
        <is>
          <t>Gate 0 (Conflict + Lock)</t>
        </is>
      </c>
      <c r="C31" s="15" t="inlineStr">
        <is>
          <t>An admin can force-clear a stuck lock</t>
        </is>
      </c>
      <c r="D31" s="15" t="inlineStr">
        <is>
          <t>Checks that an admin can manually clear a stuck lock.</t>
        </is>
      </c>
      <c r="E31" s="15" t="inlineStr">
        <is>
          <t>A lock left behind by a crashed process (for example, from GT0-06).</t>
        </is>
      </c>
      <c r="F31" s="15" t="inlineStr">
        <is>
          <t>Force-release the lock (admin action, or DELETE /api/locks/{fqn}).
Confirm it's gone by listing locks.</t>
        </is>
      </c>
      <c r="G31" s="15" t="inlineStr">
        <is>
          <t>The lock is gone. A new attempt to get the lock on that table now succeeds right away.</t>
        </is>
      </c>
      <c r="H31" s="15" t="inlineStr">
        <is>
          <t>Both</t>
        </is>
      </c>
      <c r="I31" s="15" t="inlineStr"/>
      <c r="J31" s="15" t="inlineStr"/>
    </row>
    <row r="32" ht="48" customHeight="1">
      <c r="A32" s="14" t="inlineStr">
        <is>
          <t>GT1-01</t>
        </is>
      </c>
      <c r="B32" s="14" t="inlineStr">
        <is>
          <t>Gate 1 (Control-M)</t>
        </is>
      </c>
      <c r="C32" s="14" t="inlineStr">
        <is>
          <t>Housekeeping waits for the upstream job to finish</t>
        </is>
      </c>
      <c r="D32" s="14" t="inlineStr">
        <is>
          <t>Checks that housekeeping waits for the upstream Control-M job to finish before touching a table.</t>
        </is>
      </c>
      <c r="E32" s="14" t="inlineStr">
        <is>
          <t>Table has Gate 1 turned on, pointing at a Glue job that's still running or hasn't run today.</t>
        </is>
      </c>
      <c r="F32" s="14" t="inlineStr">
        <is>
          <t>Run: python -m engine.scripts.run_hk --table &lt;fqn&gt; --no-dry-run</t>
        </is>
      </c>
      <c r="G32" s="14" t="inlineStr">
        <is>
          <t>The log shows the run was skipped because the upstream job isn't done yet. Nothing runs on the table.</t>
        </is>
      </c>
      <c r="H32" s="14" t="inlineStr">
        <is>
          <t>Both</t>
        </is>
      </c>
      <c r="I32" s="14" t="inlineStr"/>
      <c r="J32" s="14" t="inlineStr"/>
    </row>
    <row r="33" ht="48" customHeight="1">
      <c r="A33" s="15" t="inlineStr">
        <is>
          <t>GT1-02</t>
        </is>
      </c>
      <c r="B33" s="15" t="inlineStr">
        <is>
          <t>Gate 1 (Control-M)</t>
        </is>
      </c>
      <c r="C33" s="15" t="inlineStr">
        <is>
          <t>Housekeeping proceeds once the upstream job finishes</t>
        </is>
      </c>
      <c r="D33" s="15" t="inlineStr">
        <is>
          <t>Checks that housekeeping proceeds once the upstream job has finished.</t>
        </is>
      </c>
      <c r="E33" s="15" t="inlineStr">
        <is>
          <t>Same table as GT1-01, after the upstream job has succeeded.</t>
        </is>
      </c>
      <c r="F33" s="15" t="inlineStr">
        <is>
          <t>Run again: python -m engine.scripts.run_hk --table &lt;fqn&gt; --no-dry-run</t>
        </is>
      </c>
      <c r="G33" s="15" t="inlineStr">
        <is>
          <t>The run moves past this check instead of skipping.</t>
        </is>
      </c>
      <c r="H33" s="15" t="inlineStr">
        <is>
          <t>Both</t>
        </is>
      </c>
      <c r="I33" s="15" t="inlineStr"/>
      <c r="J33" s="15" t="inlineStr"/>
    </row>
    <row r="34" ht="48" customHeight="1">
      <c r="A34" s="14" t="inlineStr">
        <is>
          <t>GT1-03</t>
        </is>
      </c>
      <c r="B34" s="14" t="inlineStr">
        <is>
          <t>Gate 1 (Control-M)</t>
        </is>
      </c>
      <c r="C34" s="14" t="inlineStr">
        <is>
          <t>Turning off Gate 1 skips the upstream check</t>
        </is>
      </c>
      <c r="D34" s="14" t="inlineStr">
        <is>
          <t>Checks that turning Gate 1 off skips the upstream-job check entirely.</t>
        </is>
      </c>
      <c r="E34" s="14" t="inlineStr">
        <is>
          <t>Same table, Gate 1 turned off, upstream job still not finished.</t>
        </is>
      </c>
      <c r="F34" s="14" t="inlineStr">
        <is>
          <t>Run: python -m engine.scripts.run_hk --table &lt;fqn&gt; --no-dry-run</t>
        </is>
      </c>
      <c r="G34" s="14" t="inlineStr">
        <is>
          <t>The run does not wait for the upstream job at all.</t>
        </is>
      </c>
      <c r="H34" s="14" t="inlineStr">
        <is>
          <t>Both</t>
        </is>
      </c>
      <c r="I34" s="14" t="inlineStr"/>
      <c r="J34" s="14" t="inlineStr"/>
    </row>
    <row r="35" ht="48" customHeight="1">
      <c r="A35" s="15" t="inlineStr">
        <is>
          <t>GT1-04</t>
        </is>
      </c>
      <c r="B35" s="15" t="inlineStr">
        <is>
          <t>Gate 1 (Control-M)</t>
        </is>
      </c>
      <c r="C35" s="15" t="inlineStr">
        <is>
          <t>Dry-run preview shows the true upstream job status</t>
        </is>
      </c>
      <c r="D35" s="15" t="inlineStr">
        <is>
          <t>Checks that the dry-run preview shows the true, current status of the upstream job.</t>
        </is>
      </c>
      <c r="E35" s="15" t="inlineStr">
        <is>
          <t>Any table with Gate 1 turned on.</t>
        </is>
      </c>
      <c r="F35" s="15" t="inlineStr">
        <is>
          <t>Run: python -m engine.cli.dry_run --table &lt;fqn&gt;
Compare to: aws glue get-job-runs --job-name &lt;job&gt;</t>
        </is>
      </c>
      <c r="G35" s="15" t="inlineStr">
        <is>
          <t>The Gate 1 column on screen matches the real job status in AWS.</t>
        </is>
      </c>
      <c r="H35" s="15" t="inlineStr">
        <is>
          <t>Both</t>
        </is>
      </c>
      <c r="I35" s="15" t="inlineStr"/>
      <c r="J35" s="15" t="inlineStr"/>
    </row>
    <row r="36" ht="48" customHeight="1">
      <c r="A36" s="14" t="inlineStr">
        <is>
          <t>GT2-01</t>
        </is>
      </c>
      <c r="B36" s="14" t="inlineStr">
        <is>
          <t>Gate 2 (Window)</t>
        </is>
      </c>
      <c r="C36" s="14" t="inlineStr">
        <is>
          <t>A table is skipped outside its scheduled window</t>
        </is>
      </c>
      <c r="D36" s="14" t="inlineStr">
        <is>
          <t>Checks that a table with a fixed schedule is skipped outside its allowed time window.</t>
        </is>
      </c>
      <c r="E36" s="14" t="inlineStr">
        <is>
          <t>The current time is outside the table's schedule.</t>
        </is>
      </c>
      <c r="F36" s="14" t="inlineStr">
        <is>
          <t>Run: python -m engine.scripts.run_hk --table &lt;fqn&gt; --no-dry-run</t>
        </is>
      </c>
      <c r="G36" s="14" t="inlineStr">
        <is>
          <t>The log shows the run was skipped for being outside its window. Nothing runs.</t>
        </is>
      </c>
      <c r="H36" s="14" t="inlineStr">
        <is>
          <t>Both</t>
        </is>
      </c>
      <c r="I36" s="14" t="inlineStr"/>
      <c r="J36" s="14" t="inlineStr"/>
    </row>
    <row r="37" ht="48" customHeight="1">
      <c r="A37" s="15" t="inlineStr">
        <is>
          <t>GT2-02</t>
        </is>
      </c>
      <c r="B37" s="15" t="inlineStr">
        <is>
          <t>Gate 2 (Window)</t>
        </is>
      </c>
      <c r="C37" s="15" t="inlineStr">
        <is>
          <t>A blocked hour stops the run even inside the window</t>
        </is>
      </c>
      <c r="D37" s="15" t="inlineStr">
        <is>
          <t>Checks that a blocked-hours setting stops a run even if it's technically inside the normal window.</t>
        </is>
      </c>
      <c r="E37" s="15" t="inlineStr">
        <is>
          <t>The current hour falls inside the table's blocked hours.</t>
        </is>
      </c>
      <c r="F37" s="15" t="inlineStr">
        <is>
          <t>Run during a blocked hour: python -m engine.scripts.run_hk --table &lt;fqn&gt; --no-dry-run</t>
        </is>
      </c>
      <c r="G37" s="15" t="inlineStr">
        <is>
          <t>The log shows the run was skipped for being in a blocked hour.</t>
        </is>
      </c>
      <c r="H37" s="15" t="inlineStr">
        <is>
          <t>Both</t>
        </is>
      </c>
      <c r="I37" s="15" t="inlineStr"/>
      <c r="J37" s="15" t="inlineStr"/>
    </row>
    <row r="38" ht="48" customHeight="1">
      <c r="A38" s="14" t="inlineStr">
        <is>
          <t>GT2-03</t>
        </is>
      </c>
      <c r="B38" s="14" t="inlineStr">
        <is>
          <t>Gate 2 (Window)</t>
        </is>
      </c>
      <c r="C38" s="14" t="inlineStr">
        <is>
          <t>A wrong day of the week is skipped</t>
        </is>
      </c>
      <c r="D38" s="14" t="inlineStr">
        <is>
          <t>Checks that a schedule limited to certain days of the week is skipped on other days.</t>
        </is>
      </c>
      <c r="E38" s="14" t="inlineStr">
        <is>
          <t>Table's schedule only allows certain days.</t>
        </is>
      </c>
      <c r="F38" s="14" t="inlineStr">
        <is>
          <t>Run on a day it's not allowed: python -m engine.scripts.run_hk --table &lt;fqn&gt; --no-dry-run</t>
        </is>
      </c>
      <c r="G38" s="14" t="inlineStr">
        <is>
          <t>The log shows the run was skipped for being the wrong day.</t>
        </is>
      </c>
      <c r="H38" s="14" t="inlineStr">
        <is>
          <t>Both</t>
        </is>
      </c>
      <c r="I38" s="14" t="inlineStr"/>
      <c r="J38" s="14" t="inlineStr"/>
    </row>
    <row r="39" ht="48" customHeight="1">
      <c r="A39" s="15" t="inlineStr">
        <is>
          <t>GT2-04</t>
        </is>
      </c>
      <c r="B39" s="15" t="inlineStr">
        <is>
          <t>Gate 2 (Window)</t>
        </is>
      </c>
      <c r="C39" s="15" t="inlineStr">
        <is>
          <t>Force run overrides the schedule</t>
        </is>
      </c>
      <c r="D39" s="15" t="inlineStr">
        <is>
          <t>Checks that a manual force-run setting overrides the schedule.</t>
        </is>
      </c>
      <c r="E39" s="15" t="inlineStr">
        <is>
          <t>A table currently outside its window (like GT2-01).</t>
        </is>
      </c>
      <c r="F39" s="15" t="inlineStr">
        <is>
          <t>Turn on force_run for the table.
Run: python -m engine.scripts.run_hk --table &lt;fqn&gt; --no-dry-run</t>
        </is>
      </c>
      <c r="G39" s="15" t="inlineStr">
        <is>
          <t>The run goes ahead even though it's outside the normal window.</t>
        </is>
      </c>
      <c r="H39" s="15" t="inlineStr">
        <is>
          <t>Both</t>
        </is>
      </c>
      <c r="I39" s="15" t="inlineStr"/>
      <c r="J39" s="15" t="inlineStr"/>
    </row>
    <row r="40" ht="48" customHeight="1">
      <c r="A40" s="14" t="inlineStr">
        <is>
          <t>GT2-05</t>
        </is>
      </c>
      <c r="B40" s="14" t="inlineStr">
        <is>
          <t>Gate 2 (Window)</t>
        </is>
      </c>
      <c r="C40" s="14" t="inlineStr">
        <is>
          <t>Turning off Gate 2 skips the schedule check</t>
        </is>
      </c>
      <c r="D40" s="14" t="inlineStr">
        <is>
          <t>Checks that turning off Gate 2 skips the schedule check entirely.</t>
        </is>
      </c>
      <c r="E40" s="14" t="inlineStr">
        <is>
          <t>Same outside-window table, Gate 2 turned off.</t>
        </is>
      </c>
      <c r="F40" s="14" t="inlineStr">
        <is>
          <t>Run: python -m engine.scripts.run_hk --table &lt;fqn&gt; --no-dry-run</t>
        </is>
      </c>
      <c r="G40" s="14" t="inlineStr">
        <is>
          <t>The run goes ahead no matter what the schedule says.</t>
        </is>
      </c>
      <c r="H40" s="14" t="inlineStr">
        <is>
          <t>Both</t>
        </is>
      </c>
      <c r="I40" s="14" t="inlineStr"/>
      <c r="J40" s="14" t="inlineStr"/>
    </row>
    <row r="41" ht="48" customHeight="1">
      <c r="A41" s="15" t="inlineStr">
        <is>
          <t>GT3-01</t>
        </is>
      </c>
      <c r="B41" s="15" t="inlineStr">
        <is>
          <t>Circuit Breaker</t>
        </is>
      </c>
      <c r="C41" s="15" t="inlineStr">
        <is>
          <t>3 failures in a row turns housekeeping off</t>
        </is>
      </c>
      <c r="D41" s="15" t="inlineStr">
        <is>
          <t>Checks that a table gets automatically turned off after failing 3 times in a row.</t>
        </is>
      </c>
      <c r="E41" s="15" t="inlineStr">
        <is>
          <t>A test table you can make fail on purpose (for example, point it at a Glue job that doesn't exist).</t>
        </is>
      </c>
      <c r="F41" s="15" t="inlineStr">
        <is>
          <t>Run: python -m engine.scripts.run_hk --table &lt;fqn&gt; --no-dry-run three times, so each one fails.</t>
        </is>
      </c>
      <c r="G41" s="15" t="inlineStr">
        <is>
          <t>After the 3rd failure, the table's housekeeping is switched off automatically, with a clear reason, and an alert is sent.</t>
        </is>
      </c>
      <c r="H41" s="15" t="inlineStr">
        <is>
          <t>Both</t>
        </is>
      </c>
      <c r="I41" s="15" t="inlineStr"/>
      <c r="J41" s="15" t="inlineStr"/>
    </row>
    <row r="42" ht="48" customHeight="1">
      <c r="A42" s="14" t="inlineStr">
        <is>
          <t>GT3-02</t>
        </is>
      </c>
      <c r="B42" s="14" t="inlineStr">
        <is>
          <t>Circuit Breaker</t>
        </is>
      </c>
      <c r="C42" s="14" t="inlineStr">
        <is>
          <t>Turning housekeeping back on alone doesn't clear a lockout</t>
        </is>
      </c>
      <c r="D42" s="14" t="inlineStr">
        <is>
          <t>Checks that simply turning housekeeping back on does not undo a failure lockout by itself.</t>
        </is>
      </c>
      <c r="E42" s="14" t="inlineStr">
        <is>
          <t>GT3-01's table, turned back on again right away.</t>
        </is>
      </c>
      <c r="F42" s="14" t="inlineStr">
        <is>
          <t>Run: python -m engine.scripts.run_hk --table &lt;fqn&gt; --no-dry-run</t>
        </is>
      </c>
      <c r="G42" s="14" t="inlineStr">
        <is>
          <t>The run is still skipped, because there were 3 failures within the last 30 days. Turning it back on alone does not clear this.</t>
        </is>
      </c>
      <c r="H42" s="14" t="inlineStr">
        <is>
          <t>Both</t>
        </is>
      </c>
      <c r="I42" s="14" t="inlineStr"/>
      <c r="J42" s="14" t="inlineStr"/>
    </row>
    <row r="43" ht="48" customHeight="1">
      <c r="A43" s="15" t="inlineStr">
        <is>
          <t>GT3-03</t>
        </is>
      </c>
      <c r="B43" s="15" t="inlineStr">
        <is>
          <t>Circuit Breaker</t>
        </is>
      </c>
      <c r="C43" s="15" t="inlineStr">
        <is>
          <t>One serious failure can also trip the breaker</t>
        </is>
      </c>
      <c r="D43" s="15" t="inlineStr">
        <is>
          <t>Checks that one serious data-integrity failure switches off housekeeping right away, without needing to fail 3 times.</t>
        </is>
      </c>
      <c r="E43" s="15" t="inlineStr">
        <is>
          <t>A situation that causes one integrity check to fail (for example, the lock-loss situation from GT0-09).</t>
        </is>
      </c>
      <c r="F43" s="15" t="inlineStr">
        <is>
          <t>Trigger one run that fails its integrity check.
Check the table's housekeeping setting right after.</t>
        </is>
      </c>
      <c r="G43" s="15" t="inlineStr">
        <is>
          <t>Housekeeping is switched off after this single failure, not after three.</t>
        </is>
      </c>
      <c r="H43" s="15" t="inlineStr">
        <is>
          <t>Both</t>
        </is>
      </c>
      <c r="I43" s="15" t="inlineStr"/>
      <c r="J43" s="15" t="inlineStr"/>
    </row>
    <row r="44" ht="48" customHeight="1">
      <c r="A44" s="14" t="inlineStr">
        <is>
          <t>GT3-04</t>
        </is>
      </c>
      <c r="B44" s="14" t="inlineStr">
        <is>
          <t>Circuit Breaker</t>
        </is>
      </c>
      <c r="C44" s="14" t="inlineStr">
        <is>
          <t>An alert is actually sent when a table trips</t>
        </is>
      </c>
      <c r="D44" s="14" t="inlineStr">
        <is>
          <t>Checks that an alert really gets sent when a table gets switched off.</t>
        </is>
      </c>
      <c r="E44" s="14" t="inlineStr">
        <is>
          <t>A working email or Slack subscription on the alerts topic.</t>
        </is>
      </c>
      <c r="F44" s="14" t="inlineStr">
        <is>
          <t>Trigger GT3-01 or GT3-03.
Watch the subscribed inbox or channel.</t>
        </is>
      </c>
      <c r="G44" s="14" t="inlineStr">
        <is>
          <t>An alert naming the table and the reason arrives within a couple of minutes.</t>
        </is>
      </c>
      <c r="H44" s="14" t="inlineStr">
        <is>
          <t>Both</t>
        </is>
      </c>
      <c r="I44" s="14" t="inlineStr"/>
      <c r="J44" s="14" t="inlineStr"/>
    </row>
    <row r="45" ht="48" customHeight="1">
      <c r="A45" s="15" t="inlineStr">
        <is>
          <t>GT3-05</t>
        </is>
      </c>
      <c r="B45" s="15" t="inlineStr">
        <is>
          <t>Circuit Breaker</t>
        </is>
      </c>
      <c r="C45" s="15" t="inlineStr">
        <is>
          <t>Recovery needs old failures to age out, not a manual reset</t>
        </is>
      </c>
      <c r="D45" s="15" t="inlineStr">
        <is>
          <t>Checks that a table only becomes runnable again once its old failures are more than 30 days old -- there's no manual reset button.</t>
        </is>
      </c>
      <c r="E45" s="15" t="inlineStr">
        <is>
          <t>GT3-02's still-blocked table.</t>
        </is>
      </c>
      <c r="F45" s="15" t="inlineStr">
        <is>
          <t>Wait until the 3 failures are more than 30 days old (or, only for testing, backdate them in a throwaway copy of the data). Run the table again.</t>
        </is>
      </c>
      <c r="G45" s="15" t="inlineStr">
        <is>
          <t>Once fewer than 3 failures remain in the last 30 days, the table runs normally again.</t>
        </is>
      </c>
      <c r="H45" s="15" t="inlineStr">
        <is>
          <t>Both</t>
        </is>
      </c>
      <c r="I45" s="15" t="inlineStr"/>
      <c r="J45" s="15" t="inlineStr"/>
    </row>
    <row r="46" ht="48" customHeight="1">
      <c r="A46" s="14" t="inlineStr">
        <is>
          <t>IDM-01</t>
        </is>
      </c>
      <c r="B46" s="14" t="inlineStr">
        <is>
          <t>Idempotency</t>
        </is>
      </c>
      <c r="C46" s="14" t="inlineStr">
        <is>
          <t>Running the same table twice doesn't do the work twice</t>
        </is>
      </c>
      <c r="D46" s="14" t="inlineStr">
        <is>
          <t>Checks that running the same table twice in the same window doesn't repeat the work.</t>
        </is>
      </c>
      <c r="E46" s="14" t="inlineStr">
        <is>
          <t>A table that already ran successfully once this window.</t>
        </is>
      </c>
      <c r="F46" s="14" t="inlineStr">
        <is>
          <t>Run: python -m engine.scripts.run_hk --table &lt;fqn&gt; --no-dry-run twice, right after each other.</t>
        </is>
      </c>
      <c r="G46" s="14" t="inlineStr">
        <is>
          <t>The second run is skipped as a duplicate. Nothing runs twice.</t>
        </is>
      </c>
      <c r="H46" s="14" t="inlineStr">
        <is>
          <t>Both</t>
        </is>
      </c>
      <c r="I46" s="14" t="inlineStr"/>
      <c r="J46" s="14" t="inlineStr"/>
    </row>
    <row r="47" ht="48" customHeight="1">
      <c r="A47" s="15" t="inlineStr">
        <is>
          <t>IDM-02</t>
        </is>
      </c>
      <c r="B47" s="15" t="inlineStr">
        <is>
          <t>Idempotency</t>
        </is>
      </c>
      <c r="C47" s="15" t="inlineStr">
        <is>
          <t>Two different triggers for the same job don't double up</t>
        </is>
      </c>
      <c r="D47" s="15" t="inlineStr">
        <is>
          <t>Checks that two different triggers for the same table and time window are treated as the same job, so they don't double up.</t>
        </is>
      </c>
      <c r="E47" s="15" t="inlineStr">
        <is>
          <t>None.</t>
        </is>
      </c>
      <c r="F47" s="15" t="inlineStr">
        <is>
          <t>In a Python shell:
from engine.core.idempotency import build_execution_id
print(build_execution_id('run-A', '&lt;fqn&gt;', 'hk_run', '&lt;window_id&gt;'))
print(build_execution_id('run-B', '&lt;fqn&gt;', 'hk_run', '&lt;window_id&gt;'))</t>
        </is>
      </c>
      <c r="G47" s="15" t="inlineStr">
        <is>
          <t>Both lines print the exact same ID, even though the run names are different.</t>
        </is>
      </c>
      <c r="H47" s="15" t="inlineStr">
        <is>
          <t>Both</t>
        </is>
      </c>
      <c r="I47" s="15" t="inlineStr"/>
      <c r="J47" s="15" t="inlineStr"/>
    </row>
    <row r="48" ht="48" customHeight="1">
      <c r="A48" s="14" t="inlineStr">
        <is>
          <t>IDM-03</t>
        </is>
      </c>
      <c r="B48" s="14" t="inlineStr">
        <is>
          <t>Idempotency</t>
        </is>
      </c>
      <c r="C48" s="14" t="inlineStr">
        <is>
          <t>A completed run is remembered by other processes too</t>
        </is>
      </c>
      <c r="D48" s="14" t="inlineStr">
        <is>
          <t>Checks that a completed run is remembered even by a completely different process.</t>
        </is>
      </c>
      <c r="E48" s="14" t="inlineStr">
        <is>
          <t>None.</t>
        </is>
      </c>
      <c r="F48" s="14" t="inlineStr">
        <is>
          <t>In one Python session, mark a run as done.
In a brand-new session, check if it's already done.</t>
        </is>
      </c>
      <c r="G48" s="14" t="inlineStr">
        <is>
          <t>The second, separate session correctly sees the run as already done.</t>
        </is>
      </c>
      <c r="H48" s="14" t="inlineStr">
        <is>
          <t>Both</t>
        </is>
      </c>
      <c r="I48" s="14" t="inlineStr"/>
      <c r="J48" s="14" t="inlineStr"/>
    </row>
    <row r="49" ht="48" customHeight="1">
      <c r="A49" s="15" t="inlineStr">
        <is>
          <t>HK-01</t>
        </is>
      </c>
      <c r="B49" s="15" t="inlineStr">
        <is>
          <t>HK Engine</t>
        </is>
      </c>
      <c r="C49" s="15" t="inlineStr">
        <is>
          <t>A healthy table is left alone</t>
        </is>
      </c>
      <c r="D49" s="15" t="inlineStr">
        <is>
          <t>Checks that a healthy table with nothing to fix is left alone.</t>
        </is>
      </c>
      <c r="E49" s="15" t="inlineStr">
        <is>
          <t>A table that was just compacted and vacuumed.</t>
        </is>
      </c>
      <c r="F49" s="15" t="inlineStr">
        <is>
          <t>Run: python -m engine.scripts.run_hk --table &lt;fqn&gt; --no-dry-run</t>
        </is>
      </c>
      <c r="G49" s="15" t="inlineStr">
        <is>
          <t>The log shows the table was skipped as healthy. No changes were made.</t>
        </is>
      </c>
      <c r="H49" s="15" t="inlineStr">
        <is>
          <t>Both</t>
        </is>
      </c>
      <c r="I49" s="15" t="inlineStr"/>
      <c r="J49" s="15" t="inlineStr"/>
    </row>
    <row r="50" ht="48" customHeight="1">
      <c r="A50" s="14" t="inlineStr">
        <is>
          <t>HK-02</t>
        </is>
      </c>
      <c r="B50" s="14" t="inlineStr">
        <is>
          <t>HK Engine</t>
        </is>
      </c>
      <c r="C50" s="14" t="inlineStr">
        <is>
          <t>Dry run makes zero changes even when work is needed</t>
        </is>
      </c>
      <c r="D50" s="14" t="inlineStr">
        <is>
          <t>Checks that a dry run truly makes zero changes, even when real work is needed.</t>
        </is>
      </c>
      <c r="E50" s="14" t="inlineStr">
        <is>
          <t>A test table with lots of small files or snapshots.</t>
        </is>
      </c>
      <c r="F50" s="14" t="inlineStr">
        <is>
          <t>Note the snapshot and file counts.
Run: python -m engine.scripts.run_hk --table &lt;fqn&gt; --dry-run
Check the counts again.</t>
        </is>
      </c>
      <c r="G50" s="14" t="inlineStr">
        <is>
          <t>The log shows what WOULD happen, but the real counts on the table don't change at all.</t>
        </is>
      </c>
      <c r="H50" s="14" t="inlineStr">
        <is>
          <t>Both</t>
        </is>
      </c>
      <c r="I50" s="14" t="inlineStr"/>
      <c r="J50" s="14" t="inlineStr"/>
    </row>
    <row r="51" ht="48" customHeight="1">
      <c r="A51" s="15" t="inlineStr">
        <is>
          <t>HK-03</t>
        </is>
      </c>
      <c r="B51" s="15" t="inlineStr">
        <is>
          <t>HK Engine</t>
        </is>
      </c>
      <c r="C51" s="15" t="inlineStr">
        <is>
          <t>A real run shrinks the number of small files</t>
        </is>
      </c>
      <c r="D51" s="15" t="inlineStr">
        <is>
          <t>Checks that a real run actually reduces the number of small files (compaction).</t>
        </is>
      </c>
      <c r="E51" s="15" t="inlineStr">
        <is>
          <t>A test table built with lots of small inserts.</t>
        </is>
      </c>
      <c r="F51" s="15" t="inlineStr">
        <is>
          <t>Note the file count. In Athena: SELECT COUNT(*) FROM "&lt;table&gt;$files"
Run: python -m engine.scripts.run_hk --table &lt;fqn&gt; --no-dry-run
Check the file count again.</t>
        </is>
      </c>
      <c r="G51" s="15" t="inlineStr">
        <is>
          <t>The file count drops a lot. The log shows the compaction step succeeded and passed its checks.</t>
        </is>
      </c>
      <c r="H51" s="15" t="inlineStr">
        <is>
          <t>Both</t>
        </is>
      </c>
      <c r="I51" s="15" t="inlineStr"/>
      <c r="J51" s="15" t="inlineStr"/>
    </row>
    <row r="52" ht="48" customHeight="1">
      <c r="A52" s="14" t="inlineStr">
        <is>
          <t>HK-04</t>
        </is>
      </c>
      <c r="B52" s="14" t="inlineStr">
        <is>
          <t>HK Engine</t>
        </is>
      </c>
      <c r="C52" s="14" t="inlineStr">
        <is>
          <t>Vacuum cleans up old snapshots and stray files together</t>
        </is>
      </c>
      <c r="D52" s="14" t="inlineStr">
        <is>
          <t>Checks that vacuum removes both old snapshots and stray orphan files in one step.</t>
        </is>
      </c>
      <c r="E52" s="14" t="inlineStr">
        <is>
          <t>A test table with planted orphan files and enough history to need cleanup.</t>
        </is>
      </c>
      <c r="F52" s="14" t="inlineStr">
        <is>
          <t>Run: python -m engine.scripts.run_hk --table &lt;fqn&gt; --no-dry-run
Check the vacuum_audit table for this run.</t>
        </is>
      </c>
      <c r="G52" s="14" t="inlineStr">
        <is>
          <t>The audit row shows it wasn't aborted, the snapshot count went down, and the old orphan files were deleted. The log shows the vacuum step passed its checks.</t>
        </is>
      </c>
      <c r="H52" s="14" t="inlineStr">
        <is>
          <t>Both</t>
        </is>
      </c>
      <c r="I52" s="14" t="inlineStr"/>
      <c r="J52" s="14" t="inlineStr"/>
    </row>
    <row r="53" ht="48" customHeight="1">
      <c r="A53" s="15" t="inlineStr">
        <is>
          <t>HK-05</t>
        </is>
      </c>
      <c r="B53" s="15" t="inlineStr">
        <is>
          <t>HK Engine</t>
        </is>
      </c>
      <c r="C53" s="15" t="inlineStr">
        <is>
          <t>Brand-new orphan files are never deleted</t>
        </is>
      </c>
      <c r="D53" s="15" t="inlineStr">
        <is>
          <t>Checks that orphan files under 72 hours old are never deleted, even by vacuum.</t>
        </is>
      </c>
      <c r="E53" s="15" t="inlineStr">
        <is>
          <t>A test table with orphan files planted in the last hour.</t>
        </is>
      </c>
      <c r="F53" s="15" t="inlineStr">
        <is>
          <t>Run housekeeping right after planting the files: python -m engine.scripts.run_hk --table &lt;fqn&gt; --no-dry-run
Check S3 before and after.</t>
        </is>
      </c>
      <c r="G53" s="15" t="inlineStr">
        <is>
          <t>The freshly planted files are still there afterward. They're too new to be touched.</t>
        </is>
      </c>
      <c r="H53" s="15" t="inlineStr">
        <is>
          <t>Both</t>
        </is>
      </c>
      <c r="I53" s="15" t="inlineStr"/>
      <c r="J53" s="15" t="inlineStr"/>
    </row>
    <row r="54" ht="48" customHeight="1">
      <c r="A54" s="14" t="inlineStr">
        <is>
          <t>HK-06</t>
        </is>
      </c>
      <c r="B54" s="14" t="inlineStr">
        <is>
          <t>HK Engine</t>
        </is>
      </c>
      <c r="C54" s="14" t="inlineStr">
        <is>
          <t>Vacuum refuses to delete too much at once</t>
        </is>
      </c>
      <c r="D54" s="14" t="inlineStr">
        <is>
          <t>Checks that vacuum refuses to run if it looks like it would delete too much at once -- a safety check against something going badly wrong.</t>
        </is>
      </c>
      <c r="E54" s="14" t="inlineStr">
        <is>
          <t>A table where almost all its snapshots look ready to expire.</t>
        </is>
      </c>
      <c r="F54" s="14" t="inlineStr">
        <is>
          <t>Run: python -m engine.scripts.run_hk --table &lt;fqn&gt; --no-dry-run</t>
        </is>
      </c>
      <c r="G54" s="14" t="inlineStr">
        <is>
          <t>The audit row shows it was aborted, with a reason. No real deleting happened. The table's housekeeping gets switched off and an alert is sent.</t>
        </is>
      </c>
      <c r="H54" s="14" t="inlineStr">
        <is>
          <t>Both</t>
        </is>
      </c>
      <c r="I54" s="14" t="inlineStr"/>
      <c r="J54" s="14" t="inlineStr"/>
    </row>
    <row r="55" ht="48" customHeight="1">
      <c r="A55" s="15" t="inlineStr">
        <is>
          <t>HK-07</t>
        </is>
      </c>
      <c r="B55" s="15" t="inlineStr">
        <is>
          <t>HK Engine</t>
        </is>
      </c>
      <c r="C55" s="15" t="inlineStr">
        <is>
          <t>A failed settings update stops the run instead of guessing</t>
        </is>
      </c>
      <c r="D55" s="15" t="inlineStr">
        <is>
          <t>Checks that if Zamboni can't safely set the table's vacuum settings first, it stops instead of guessing and going ahead anyway.</t>
        </is>
      </c>
      <c r="E55" s="15" t="inlineStr">
        <is>
          <t>A situation where the settings update can be made to fail (for example, remove the test account's permission to update the table).</t>
        </is>
      </c>
      <c r="F55" s="15" t="inlineStr">
        <is>
          <t>Cause the settings update to fail.
Run: python -m engine.scripts.run_hk --table &lt;fqn&gt; --no-dry-run</t>
        </is>
      </c>
      <c r="G55" s="15" t="inlineStr">
        <is>
          <t>The run stops before vacuum runs at all. Nothing on the table is touched. Restore the permission afterward.</t>
        </is>
      </c>
      <c r="H55" s="15" t="inlineStr">
        <is>
          <t>Both</t>
        </is>
      </c>
      <c r="I55" s="15" t="inlineStr"/>
      <c r="J55" s="15" t="inlineStr"/>
    </row>
    <row r="56" ht="48" customHeight="1">
      <c r="A56" s="14" t="inlineStr">
        <is>
          <t>HK-08</t>
        </is>
      </c>
      <c r="B56" s="14" t="inlineStr">
        <is>
          <t>HK Engine</t>
        </is>
      </c>
      <c r="C56" s="14" t="inlineStr">
        <is>
          <t>Zamboni double-checks its settings actually took effect</t>
        </is>
      </c>
      <c r="D56" s="14" t="inlineStr">
        <is>
          <t>Checks that Zamboni confirms its settings really took effect, not just that the update call didn't error.</t>
        </is>
      </c>
      <c r="E56" s="14" t="inlineStr">
        <is>
          <t>None specific -- this happens on every real run.</t>
        </is>
      </c>
      <c r="F56" s="14" t="inlineStr">
        <is>
          <t>After any real housekeeping run, compare the table's real settings in Glue against what Zamboni intended to set.</t>
        </is>
      </c>
      <c r="G56" s="14" t="inlineStr">
        <is>
          <t>The real settings on the table exactly match what Zamboni asked for.</t>
        </is>
      </c>
      <c r="H56" s="14" t="inlineStr">
        <is>
          <t>Both</t>
        </is>
      </c>
      <c r="I56" s="14" t="inlineStr"/>
      <c r="J56" s="14" t="inlineStr"/>
    </row>
    <row r="57" ht="48" customHeight="1">
      <c r="A57" s="15" t="inlineStr">
        <is>
          <t>HK-09</t>
        </is>
      </c>
      <c r="B57" s="15" t="inlineStr">
        <is>
          <t>HK Engine</t>
        </is>
      </c>
      <c r="C57" s="15" t="inlineStr">
        <is>
          <t>An unclear result is marked failed, not verified</t>
        </is>
      </c>
      <c r="D57" s="15" t="inlineStr">
        <is>
          <t>Checks that if Zamboni can't fully confirm a table's before/after state, it reports the run as failed, not as verified.</t>
        </is>
      </c>
      <c r="E57" s="15" t="inlineStr">
        <is>
          <t>None -- review recent run history.</t>
        </is>
      </c>
      <c r="F57" s="15" t="inlineStr">
        <is>
          <t>Look through the execution log for rows where the before or after snapshot info is blank.</t>
        </is>
      </c>
      <c r="G57" s="15" t="inlineStr">
        <is>
          <t>Any such row is marked as failed, never marked as verified.</t>
        </is>
      </c>
      <c r="H57" s="15" t="inlineStr">
        <is>
          <t>Both</t>
        </is>
      </c>
      <c r="I57" s="15" t="inlineStr"/>
      <c r="J57" s="15" t="inlineStr"/>
    </row>
    <row r="58" ht="48" customHeight="1">
      <c r="A58" s="14" t="inlineStr">
        <is>
          <t>HK-10</t>
        </is>
      </c>
      <c r="B58" s="14" t="inlineStr">
        <is>
          <t>HK Engine</t>
        </is>
      </c>
      <c r="C58" s="14" t="inlineStr">
        <is>
          <t>A table isn't re-run before its next scheduled turn</t>
        </is>
      </c>
      <c r="D58" s="14" t="inlineStr">
        <is>
          <t>Checks that a table isn't re-run before its next scheduled turn comes up.</t>
        </is>
      </c>
      <c r="E58" s="14" t="inlineStr">
        <is>
          <t>A table that just ran successfully.</t>
        </is>
      </c>
      <c r="F58" s="14" t="inlineStr">
        <is>
          <t>Run it again immediately: python -m engine.scripts.run_hk --table &lt;fqn&gt; --no-dry-run</t>
        </is>
      </c>
      <c r="G58" s="14" t="inlineStr">
        <is>
          <t>The run is skipped as not due yet.</t>
        </is>
      </c>
      <c r="H58" s="14" t="inlineStr">
        <is>
          <t>Both</t>
        </is>
      </c>
      <c r="I58" s="14" t="inlineStr"/>
      <c r="J58" s="14" t="inlineStr"/>
    </row>
    <row r="59" ht="48" customHeight="1">
      <c r="A59" s="15" t="inlineStr">
        <is>
          <t>HK-11</t>
        </is>
      </c>
      <c r="B59" s="15" t="inlineStr">
        <is>
          <t>HK Engine</t>
        </is>
      </c>
      <c r="C59" s="15" t="inlineStr">
        <is>
          <t>Zamboni backs off when Athena is already busy</t>
        </is>
      </c>
      <c r="D59" s="15" t="inlineStr">
        <is>
          <t>Checks that Zamboni waits, or backs off, when Athena is already busy, instead of piling on more work.</t>
        </is>
      </c>
      <c r="E59" s="15" t="inlineStr">
        <is>
          <t>Several long queries already running in the same Athena workgroup.</t>
        </is>
      </c>
      <c r="F59" s="15" t="inlineStr">
        <is>
          <t>While Athena is busy, run: python -m engine.scripts.run_hk --table &lt;fqn&gt; --no-dry-run</t>
        </is>
      </c>
      <c r="G59" s="15" t="inlineStr">
        <is>
          <t>The step waits, and skips if things stay busy too long. Nothing is submitted while Athena is saturated. It works normally once things free up.</t>
        </is>
      </c>
      <c r="H59" s="15" t="inlineStr">
        <is>
          <t>Both</t>
        </is>
      </c>
      <c r="I59" s="15" t="inlineStr"/>
      <c r="J59" s="15" t="inlineStr"/>
    </row>
    <row r="60" ht="48" customHeight="1">
      <c r="A60" s="14" t="inlineStr">
        <is>
          <t>HK-12</t>
        </is>
      </c>
      <c r="B60" s="14" t="inlineStr">
        <is>
          <t>HK Engine</t>
        </is>
      </c>
      <c r="C60" s="14" t="inlineStr">
        <is>
          <t>The older housekeeping path still works as a fallback</t>
        </is>
      </c>
      <c r="D60" s="14" t="inlineStr">
        <is>
          <t>Checks that the older, simpler housekeeping path still works if the newer one is switched off.</t>
        </is>
      </c>
      <c r="E60" s="14" t="inlineStr">
        <is>
          <t>None.</t>
        </is>
      </c>
      <c r="F60" s="14" t="inlineStr">
        <is>
          <t>Turn off the new path: set ORCHESTRATED_MAINTENANCE=false
Run: python -m engine.scripts.run_hk --table &lt;fqn&gt; --no-dry-run
Turn it back on afterward.</t>
        </is>
      </c>
      <c r="G60" s="14" t="inlineStr">
        <is>
          <t>The run completes using the older code path instead.</t>
        </is>
      </c>
      <c r="H60" s="14" t="inlineStr">
        <is>
          <t>Both</t>
        </is>
      </c>
      <c r="I60" s="14" t="inlineStr"/>
      <c r="J60" s="14" t="inlineStr"/>
    </row>
    <row r="61" ht="48" customHeight="1">
      <c r="A61" s="15" t="inlineStr">
        <is>
          <t>HK-13</t>
        </is>
      </c>
      <c r="B61" s="15" t="inlineStr">
        <is>
          <t>HK Engine</t>
        </is>
      </c>
      <c r="C61" s="15" t="inlineStr">
        <is>
          <t>A fleet-wide run only touches the right tables</t>
        </is>
      </c>
      <c r="D61" s="15" t="inlineStr">
        <is>
          <t>Checks that a fleet-wide run only touches tables that are actually turned on for the right environment.</t>
        </is>
      </c>
      <c r="E61" s="15" t="inlineStr">
        <is>
          <t>A mix of on/off tables across two environments.</t>
        </is>
      </c>
      <c r="F61" s="15" t="inlineStr">
        <is>
          <t>Run: python -m engine.scripts.run_hk --domain &lt;domain&gt; --environment &lt;env&gt; --dry-run</t>
        </is>
      </c>
      <c r="G61" s="15" t="inlineStr">
        <is>
          <t>The number of tables processed exactly matches the tables turned on for that domain and environment. No others show up in the log.</t>
        </is>
      </c>
      <c r="H61" s="15" t="inlineStr">
        <is>
          <t>Both</t>
        </is>
      </c>
      <c r="I61" s="15" t="inlineStr"/>
      <c r="J61" s="15" t="inlineStr"/>
    </row>
    <row r="62" ht="48" customHeight="1">
      <c r="A62" s="14" t="inlineStr">
        <is>
          <t>HK-14</t>
        </is>
      </c>
      <c r="B62" s="14" t="inlineStr">
        <is>
          <t>HK Engine</t>
        </is>
      </c>
      <c r="C62" s="14" t="inlineStr">
        <is>
          <t>The command reports failure correctly</t>
        </is>
      </c>
      <c r="D62" s="14" t="inlineStr">
        <is>
          <t>Checks that the command's exit code correctly reports success or failure.</t>
        </is>
      </c>
      <c r="E62" s="14" t="inlineStr">
        <is>
          <t>At least one table set up to fail.</t>
        </is>
      </c>
      <c r="F62" s="14" t="inlineStr">
        <is>
          <t>Run: python -m engine.scripts.run_hk --domain &lt;domain&gt; --no-dry-run
Check the exit code afterward.</t>
        </is>
      </c>
      <c r="G62" s="14" t="inlineStr">
        <is>
          <t>Exit code is 1 if anything failed, 0 if everything went fine.</t>
        </is>
      </c>
      <c r="H62" s="14" t="inlineStr">
        <is>
          <t>Both</t>
        </is>
      </c>
      <c r="I62" s="14" t="inlineStr"/>
      <c r="J62" s="14" t="inlineStr"/>
    </row>
    <row r="63" ht="48" customHeight="1">
      <c r="A63" s="15" t="inlineStr">
        <is>
          <t>BP-01</t>
        </is>
      </c>
      <c r="B63" s="15" t="inlineStr">
        <is>
          <t>Backpressure</t>
        </is>
      </c>
      <c r="C63" s="15" t="inlineStr">
        <is>
          <t>The 'how busy is Athena' count matches reality</t>
        </is>
      </c>
      <c r="D63" s="15" t="inlineStr">
        <is>
          <t>Checks that Zamboni's count of how many queries are running matches reality.</t>
        </is>
      </c>
      <c r="E63" s="15" t="inlineStr">
        <is>
          <t>2-3 long queries running in a workgroup (start them manually in the Athena console).</t>
        </is>
      </c>
      <c r="F63" s="15" t="inlineStr">
        <is>
          <t>In a Python shell:
from engine.core.backpressure import get_running_query_count
print(get_running_query_count('app'))</t>
        </is>
      </c>
      <c r="G63" s="15" t="inlineStr">
        <is>
          <t>The number printed matches what you see running in the Athena console.</t>
        </is>
      </c>
      <c r="H63" s="15" t="inlineStr">
        <is>
          <t>Both</t>
        </is>
      </c>
      <c r="I63" s="15" t="inlineStr"/>
      <c r="J63" s="15" t="inlineStr"/>
    </row>
    <row r="64" ht="48" customHeight="1">
      <c r="A64" s="14" t="inlineStr">
        <is>
          <t>BP-02</t>
        </is>
      </c>
      <c r="B64" s="14" t="inlineStr">
        <is>
          <t>Backpressure</t>
        </is>
      </c>
      <c r="C64" s="14" t="inlineStr">
        <is>
          <t>A failed busyness check doesn't get Zamboni stuck</t>
        </is>
      </c>
      <c r="D64" s="14" t="inlineStr">
        <is>
          <t>Checks that if the 'how busy is Athena' check itself fails, Zamboni carries on instead of getting stuck.</t>
        </is>
      </c>
      <c r="E64" s="14" t="inlineStr">
        <is>
          <t>Temporarily remove permission for the busyness check.</t>
        </is>
      </c>
      <c r="F64" s="14" t="inlineStr">
        <is>
          <t>With the permission removed, run: python -m engine.scripts.run_hk --table &lt;fqn&gt; --no-dry-run</t>
        </is>
      </c>
      <c r="G64" s="14" t="inlineStr">
        <is>
          <t>The run still goes ahead, even though the busyness check itself couldn't work. Restore the permission afterward.</t>
        </is>
      </c>
      <c r="H64" s="14" t="inlineStr">
        <is>
          <t>Both</t>
        </is>
      </c>
      <c r="I64" s="14" t="inlineStr"/>
      <c r="J64" s="14" t="inlineStr"/>
    </row>
    <row r="65" ht="48" customHeight="1">
      <c r="A65" s="15" t="inlineStr">
        <is>
          <t>ARC-01</t>
        </is>
      </c>
      <c r="B65" s="15" t="inlineStr">
        <is>
          <t>Archival Engine</t>
        </is>
      </c>
      <c r="C65" s="15" t="inlineStr">
        <is>
          <t>Dry-run archiving shows the plan without moving data</t>
        </is>
      </c>
      <c r="D65" s="15" t="inlineStr">
        <is>
          <t>Checks that a dry run of archiving shows what would move, without moving anything.</t>
        </is>
      </c>
      <c r="E65" s="15" t="inlineStr">
        <is>
          <t>A table with archiving turned on and at least one old partition.</t>
        </is>
      </c>
      <c r="F65" s="15" t="inlineStr">
        <is>
          <t>Run: python -m engine.scripts.run_archival --domain &lt;domain&gt; --dry-run</t>
        </is>
      </c>
      <c r="G65" s="15" t="inlineStr">
        <is>
          <t>The summary shows partitions found. No new files appear in S3. The source data is untouched.</t>
        </is>
      </c>
      <c r="H65" s="15" t="inlineStr">
        <is>
          <t>Both</t>
        </is>
      </c>
      <c r="I65" s="15" t="inlineStr"/>
      <c r="J65" s="15" t="inlineStr"/>
    </row>
    <row r="66" ht="48" customHeight="1">
      <c r="A66" s="14" t="inlineStr">
        <is>
          <t>ARC-02</t>
        </is>
      </c>
      <c r="B66" s="14" t="inlineStr">
        <is>
          <t>Archival Engine</t>
        </is>
      </c>
      <c r="C66" s="14" t="inlineStr">
        <is>
          <t>A real archive run moves data to S3 and removes it from the live table</t>
        </is>
      </c>
      <c r="D66" s="14" t="inlineStr">
        <is>
          <t>Checks that a real archive run moves old data to S3 and removes it from the live table.</t>
        </is>
      </c>
      <c r="E66" s="14" t="inlineStr">
        <is>
          <t>Same as ARC-01.</t>
        </is>
      </c>
      <c r="F66" s="14" t="inlineStr">
        <is>
          <t>Run: python -m engine.scripts.run_archival --domain &lt;domain&gt; --no-dry-run
Check the archive bucket and the source table.</t>
        </is>
      </c>
      <c r="G66" s="14" t="inlineStr">
        <is>
          <t>The data is now in the archive bucket. The source partition is empty. The log shows success with real bytes archived.</t>
        </is>
      </c>
      <c r="H66" s="14" t="inlineStr">
        <is>
          <t>Both</t>
        </is>
      </c>
      <c r="I66" s="14" t="inlineStr"/>
      <c r="J66" s="14" t="inlineStr"/>
    </row>
    <row r="67" ht="48" customHeight="1">
      <c r="A67" s="15" t="inlineStr">
        <is>
          <t>ARC-03</t>
        </is>
      </c>
      <c r="B67" s="15" t="inlineStr">
        <is>
          <t>Archival Engine</t>
        </is>
      </c>
      <c r="C67" s="15" t="inlineStr">
        <is>
          <t>Archiving refuses to delete data written after export</t>
        </is>
      </c>
      <c r="D67" s="15" t="inlineStr">
        <is>
          <t>Checks that archiving refuses to delete a partition if new data was written to it after the export, so nothing is silently lost.</t>
        </is>
      </c>
      <c r="E67" s="15" t="inlineStr">
        <is>
          <t>A partition being archived, with a way to write a new row into it mid-run.</t>
        </is>
      </c>
      <c r="F67" s="15" t="inlineStr">
        <is>
          <t>Start an archive run. Insert a new row into the exact partition being archived, between the export and delete steps.</t>
        </is>
      </c>
      <c r="G67" s="15" t="inlineStr">
        <is>
          <t>Archiving notices the mismatch and refuses to delete. The log explains why.</t>
        </is>
      </c>
      <c r="H67" s="15" t="inlineStr">
        <is>
          <t>Both</t>
        </is>
      </c>
      <c r="I67" s="15" t="inlineStr"/>
      <c r="J67" s="15" t="inlineStr"/>
    </row>
    <row r="68" ht="48" customHeight="1">
      <c r="A68" s="14" t="inlineStr">
        <is>
          <t>ARC-04</t>
        </is>
      </c>
      <c r="B68" s="14" t="inlineStr">
        <is>
          <t>Archival Engine</t>
        </is>
      </c>
      <c r="C68" s="14" t="inlineStr">
        <is>
          <t>Archiving and housekeeping can't touch the same table at once</t>
        </is>
      </c>
      <c r="D68" s="14" t="inlineStr">
        <is>
          <t>Checks that archiving and housekeeping can't both touch the same table at the same time.</t>
        </is>
      </c>
      <c r="E68" s="14" t="inlineStr">
        <is>
          <t>None.</t>
        </is>
      </c>
      <c r="F68" s="14" t="inlineStr">
        <is>
          <t>Hold a lock manually on a table. At the same time, run: python -m engine.scripts.run_archival --domain &lt;domain&gt; --no-dry-run for that table.</t>
        </is>
      </c>
      <c r="G68" s="14" t="inlineStr">
        <is>
          <t>Archiving skips or waits for that table instead of running at the same time as the lock holder.</t>
        </is>
      </c>
      <c r="H68" s="14" t="inlineStr">
        <is>
          <t>Both</t>
        </is>
      </c>
      <c r="I68" s="14" t="inlineStr"/>
      <c r="J68" s="14" t="inlineStr"/>
    </row>
    <row r="69" ht="48" customHeight="1">
      <c r="A69" s="15" t="inlineStr">
        <is>
          <t>ARC-05</t>
        </is>
      </c>
      <c r="B69" s="15" t="inlineStr">
        <is>
          <t>Archival Engine</t>
        </is>
      </c>
      <c r="C69" s="15" t="inlineStr">
        <is>
          <t>Archiving stops safely if it loses its lock mid-batch</t>
        </is>
      </c>
      <c r="D69" s="15" t="inlineStr">
        <is>
          <t>Checks that archiving also stops safely if it loses its lock partway through a batch of partitions.</t>
        </is>
      </c>
      <c r="E69" s="15" t="inlineStr">
        <is>
          <t>A table with several partitions to archive at once.</t>
        </is>
      </c>
      <c r="F69" s="15" t="inlineStr">
        <is>
          <t>Force-release the archive job's lock mid-run from another window. Watch what happens to the remaining partitions.</t>
        </is>
      </c>
      <c r="G69" s="15" t="inlineStr">
        <is>
          <t>Every remaining partition's delete step is blocked once the lock is confirmed lost, not just the one that noticed first.</t>
        </is>
      </c>
      <c r="H69" s="15" t="inlineStr">
        <is>
          <t>Both</t>
        </is>
      </c>
      <c r="I69" s="15" t="inlineStr"/>
      <c r="J69" s="15" t="inlineStr"/>
    </row>
    <row r="70" ht="48" customHeight="1">
      <c r="A70" s="14" t="inlineStr">
        <is>
          <t>ARC-06</t>
        </is>
      </c>
      <c r="B70" s="14" t="inlineStr">
        <is>
          <t>Archival Engine</t>
        </is>
      </c>
      <c r="C70" s="14" t="inlineStr">
        <is>
          <t>The command reports failure correctly</t>
        </is>
      </c>
      <c r="D70" s="14" t="inlineStr">
        <is>
          <t>Checks that the command's exit code correctly reports success or failure.</t>
        </is>
      </c>
      <c r="E70" s="14" t="inlineStr">
        <is>
          <t>A partition set up to fail (for example, remove S3 write permission).</t>
        </is>
      </c>
      <c r="F70" s="14" t="inlineStr">
        <is>
          <t>Run: python -m engine.scripts.run_archival --domain &lt;domain&gt; --no-dry-run
Check the exit code.</t>
        </is>
      </c>
      <c r="G70" s="14" t="inlineStr">
        <is>
          <t>Exit code is 1. Restore the permission afterward.</t>
        </is>
      </c>
      <c r="H70" s="14" t="inlineStr">
        <is>
          <t>Both</t>
        </is>
      </c>
      <c r="I70" s="14" t="inlineStr"/>
      <c r="J70" s="14" t="inlineStr"/>
    </row>
    <row r="71" ht="48" customHeight="1">
      <c r="A71" s="15" t="inlineStr">
        <is>
          <t>ARC-07</t>
        </is>
      </c>
      <c r="B71" s="15" t="inlineStr">
        <is>
          <t>Archival Engine</t>
        </is>
      </c>
      <c r="C71" s="15" t="inlineStr">
        <is>
          <t>Reported storage savings match what's really in S3</t>
        </is>
      </c>
      <c r="D71" s="15" t="inlineStr">
        <is>
          <t>Checks that the reported storage savings match what's actually in S3.</t>
        </is>
      </c>
      <c r="E71" s="15" t="inlineStr">
        <is>
          <t>ARC-02 is done.</t>
        </is>
      </c>
      <c r="F71" s="15" t="inlineStr">
        <is>
          <t>Compare: aws s3 ls --summarize --human-readable on the archive folder, against the total bytes archived in the log.</t>
        </is>
      </c>
      <c r="G71" s="15" t="inlineStr">
        <is>
          <t>The two numbers roughly match.</t>
        </is>
      </c>
      <c r="H71" s="15" t="inlineStr">
        <is>
          <t>Both</t>
        </is>
      </c>
      <c r="I71" s="15" t="inlineStr"/>
      <c r="J71" s="15" t="inlineStr"/>
    </row>
    <row r="72" ht="48" customHeight="1">
      <c r="A72" s="14" t="inlineStr">
        <is>
          <t>LFC-01</t>
        </is>
      </c>
      <c r="B72" s="14" t="inlineStr">
        <is>
          <t>Lifecycle Engine</t>
        </is>
      </c>
      <c r="C72" s="14" t="inlineStr">
        <is>
          <t>Scanning finds non-prod tables and adds them to tracking</t>
        </is>
      </c>
      <c r="D72" s="14" t="inlineStr">
        <is>
          <t>Checks that scanning finds non-prod tables and adds them to the tracking list.</t>
        </is>
      </c>
      <c r="E72" s="14" t="inlineStr">
        <is>
          <t>A non-prod database with Iceberg tables, under an active domain.</t>
        </is>
      </c>
      <c r="F72" s="14" t="inlineStr">
        <is>
          <t>Run: python -m engine.scripts.run_lifecycle_scan --environment preprod --no-dry-run</t>
        </is>
      </c>
      <c r="G72" s="14" t="inlineStr">
        <is>
          <t>New rows appear for these tables, all starting in the ACTIVE state.</t>
        </is>
      </c>
      <c r="H72" s="14" t="inlineStr">
        <is>
          <t>Both</t>
        </is>
      </c>
      <c r="I72" s="14" t="inlineStr"/>
      <c r="J72" s="14" t="inlineStr"/>
    </row>
    <row r="73" ht="48" customHeight="1">
      <c r="A73" s="15" t="inlineStr">
        <is>
          <t>LFC-02</t>
        </is>
      </c>
      <c r="B73" s="15" t="inlineStr">
        <is>
          <t>Lifecycle Engine</t>
        </is>
      </c>
      <c r="C73" s="15" t="inlineStr">
        <is>
          <t>Scanning skips databases with no active domain</t>
        </is>
      </c>
      <c r="D73" s="15" t="inlineStr">
        <is>
          <t>Checks that scanning skips a database whose domain isn't registered or is turned off, so it's never even looked at.</t>
        </is>
      </c>
      <c r="E73" s="15" t="inlineStr">
        <is>
          <t>A non-prod database whose domain has no record, or is turned off.</t>
        </is>
      </c>
      <c r="F73" s="15" t="inlineStr">
        <is>
          <t>Run: python -m engine.scripts.run_lifecycle_scan --environment preprod --no-dry-run</t>
        </is>
      </c>
      <c r="G73" s="15" t="inlineStr">
        <is>
          <t>No new tracking rows appear for that database's tables at all.</t>
        </is>
      </c>
      <c r="H73" s="15" t="inlineStr">
        <is>
          <t>Both</t>
        </is>
      </c>
      <c r="I73" s="15" t="inlineStr"/>
      <c r="J73" s="15" t="inlineStr"/>
    </row>
    <row r="74" ht="48" customHeight="1">
      <c r="A74" s="14" t="inlineStr">
        <is>
          <t>LFC-03</t>
        </is>
      </c>
      <c r="B74" s="14" t="inlineStr">
        <is>
          <t>Lifecycle Engine</t>
        </is>
      </c>
      <c r="C74" s="14" t="inlineStr">
        <is>
          <t>An unused table becomes a stale candidate</t>
        </is>
      </c>
      <c r="D74" s="14" t="inlineStr">
        <is>
          <t>Checks that an inactive table moves from ACTIVE to STALE_CANDIDATE after being unused long enough.</t>
        </is>
      </c>
      <c r="E74" s="14" t="inlineStr">
        <is>
          <t>A table that hasn't been queried or written to in a long time.</t>
        </is>
      </c>
      <c r="F74" s="14" t="inlineStr">
        <is>
          <t>Run: python -m engine.scripts.run_lifecycle_cycle --environment preprod --no-dry-run</t>
        </is>
      </c>
      <c r="G74" s="14" t="inlineStr">
        <is>
          <t>The table's state changes to STALE_CANDIDATE.</t>
        </is>
      </c>
      <c r="H74" s="14" t="inlineStr">
        <is>
          <t>Both</t>
        </is>
      </c>
      <c r="I74" s="14" t="inlineStr"/>
      <c r="J74" s="14" t="inlineStr"/>
    </row>
    <row r="75" ht="48" customHeight="1">
      <c r="A75" s="15" t="inlineStr">
        <is>
          <t>LFC-04</t>
        </is>
      </c>
      <c r="B75" s="15" t="inlineStr">
        <is>
          <t>Lifecycle Engine</t>
        </is>
      </c>
      <c r="C75" s="15" t="inlineStr">
        <is>
          <t>The owner is notified before the grace period starts</t>
        </is>
      </c>
      <c r="D75" s="15" t="inlineStr">
        <is>
          <t>Checks that the owner is emailed or alerted BEFORE a table's grace period starts, not after.</t>
        </is>
      </c>
      <c r="E75" s="15" t="inlineStr">
        <is>
          <t>LFC-03's table. A working subscription on the greenzone alert topic.</t>
        </is>
      </c>
      <c r="F75" s="15" t="inlineStr">
        <is>
          <t>Run again: python -m engine.scripts.run_lifecycle_cycle --environment preprod --no-dry-run</t>
        </is>
      </c>
      <c r="G75" s="15" t="inlineStr">
        <is>
          <t>A notification is received. The table only moves to GREENZONE, with a 14-day grace period, after that notification succeeds.</t>
        </is>
      </c>
      <c r="H75" s="15" t="inlineStr">
        <is>
          <t>Both</t>
        </is>
      </c>
      <c r="I75" s="15" t="inlineStr"/>
      <c r="J75" s="15" t="inlineStr"/>
    </row>
    <row r="76" ht="48" customHeight="1">
      <c r="A76" s="14" t="inlineStr">
        <is>
          <t>LFC-05</t>
        </is>
      </c>
      <c r="B76" s="14" t="inlineStr">
        <is>
          <t>Lifecycle Engine</t>
        </is>
      </c>
      <c r="C76" s="14" t="inlineStr">
        <is>
          <t>A failed notification stops the table from moving forward</t>
        </is>
      </c>
      <c r="D76" s="14" t="inlineStr">
        <is>
          <t>Checks that if the notification fails to send, the table does NOT quietly move forward anyway.</t>
        </is>
      </c>
      <c r="E76" s="14" t="inlineStr">
        <is>
          <t>Notifications temporarily broken (for example, an invalid alert address) for a table about to change state.</t>
        </is>
      </c>
      <c r="F76" s="14" t="inlineStr">
        <is>
          <t>Run: python -m engine.scripts.run_lifecycle_cycle --environment preprod --no-dry-run with notifications broken.</t>
        </is>
      </c>
      <c r="G76" s="14" t="inlineStr">
        <is>
          <t>The table's state does not change. The log shows the notification failed. Fix notifications afterward.</t>
        </is>
      </c>
      <c r="H76" s="14" t="inlineStr">
        <is>
          <t>Both</t>
        </is>
      </c>
      <c r="I76" s="14" t="inlineStr"/>
      <c r="J76" s="14" t="inlineStr"/>
    </row>
    <row r="77" ht="48" customHeight="1">
      <c r="A77" s="15" t="inlineStr">
        <is>
          <t>LFC-06</t>
        </is>
      </c>
      <c r="B77" s="15" t="inlineStr">
        <is>
          <t>Lifecycle Engine</t>
        </is>
      </c>
      <c r="C77" s="15" t="inlineStr">
        <is>
          <t>A table moves to pending-drop once its grace period ends</t>
        </is>
      </c>
      <c r="D77" s="15" t="inlineStr">
        <is>
          <t>Checks that a table moves from GREENZONE to PENDING_DROP once its grace period runs out, with one last warning sent.</t>
        </is>
      </c>
      <c r="E77" s="15" t="inlineStr">
        <is>
          <t>LFC-04's table, with its grace period backdated or waited out.</t>
        </is>
      </c>
      <c r="F77" s="15" t="inlineStr">
        <is>
          <t>Run: python -m engine.scripts.run_lifecycle_cycle --environment preprod --no-dry-run</t>
        </is>
      </c>
      <c r="G77" s="15" t="inlineStr">
        <is>
          <t>The table's state changes to PENDING_DROP, with a 2-day countdown. A final warning is received.</t>
        </is>
      </c>
      <c r="H77" s="15" t="inlineStr">
        <is>
          <t>Both</t>
        </is>
      </c>
      <c r="I77" s="15" t="inlineStr"/>
      <c r="J77" s="15" t="inlineStr"/>
    </row>
    <row r="78" ht="48" customHeight="1">
      <c r="A78" s="14" t="inlineStr">
        <is>
          <t>LFC-07</t>
        </is>
      </c>
      <c r="B78" s="14" t="inlineStr">
        <is>
          <t>Lifecycle Engine</t>
        </is>
      </c>
      <c r="C78" s="14" t="inlineStr">
        <is>
          <t>Exempting a table keeps it safe permanently</t>
        </is>
      </c>
      <c r="D78" s="14" t="inlineStr">
        <is>
          <t>Checks that marking a table exempt keeps it safe from deletion, permanently.</t>
        </is>
      </c>
      <c r="E78" s="14" t="inlineStr">
        <is>
          <t>A table in GREENZONE or PENDING_DROP.</t>
        </is>
      </c>
      <c r="F78" s="14" t="inlineStr">
        <is>
          <t>Mark it exempt.
Run the scan and cycle scripts a few more times.</t>
        </is>
      </c>
      <c r="G78" s="14" t="inlineStr">
        <is>
          <t>The table stays ACTIVE and marked exempt, even though it's still genuinely unused.</t>
        </is>
      </c>
      <c r="H78" s="14" t="inlineStr">
        <is>
          <t>Both</t>
        </is>
      </c>
      <c r="I78" s="14" t="inlineStr"/>
      <c r="J78" s="14" t="inlineStr"/>
    </row>
    <row r="79" ht="48" customHeight="1">
      <c r="A79" s="15" t="inlineStr">
        <is>
          <t>LFC-08</t>
        </is>
      </c>
      <c r="B79" s="15" t="inlineStr">
        <is>
          <t>Lifecycle Engine</t>
        </is>
      </c>
      <c r="C79" s="15" t="inlineStr">
        <is>
          <t>Claiming a table is temporary, not permanent</t>
        </is>
      </c>
      <c r="D79" s="15" t="inlineStr">
        <is>
          <t>Checks that claiming a table (instead of exempting it) is temporary -- it can become stale again later.</t>
        </is>
      </c>
      <c r="E79" s="15" t="inlineStr">
        <is>
          <t>A table in STALE_CANDIDATE or GREENZONE.</t>
        </is>
      </c>
      <c r="F79" s="15" t="inlineStr">
        <is>
          <t>Claim it. Confirm it's ACTIVE and not exempt. Let it sit unused again and re-run the cycle.</t>
        </is>
      </c>
      <c r="G79" s="15" t="inlineStr">
        <is>
          <t>The table becomes STALE_CANDIDATE again eventually, unlike an exempted table, which never would.</t>
        </is>
      </c>
      <c r="H79" s="15" t="inlineStr">
        <is>
          <t>Both</t>
        </is>
      </c>
      <c r="I79" s="15" t="inlineStr"/>
      <c r="J79" s="15" t="inlineStr"/>
    </row>
    <row r="80" ht="48" customHeight="1">
      <c r="A80" s="14" t="inlineStr">
        <is>
          <t>LFC-09</t>
        </is>
      </c>
      <c r="B80" s="14" t="inlineStr">
        <is>
          <t>Lifecycle Engine</t>
        </is>
      </c>
      <c r="C80" s="14" t="inlineStr">
        <is>
          <t>Backup-named tables are flagged automatically</t>
        </is>
      </c>
      <c r="D80" s="14" t="inlineStr">
        <is>
          <t>Checks that backup-style tables (named _bkp, _backup, or _copy) get flagged automatically.</t>
        </is>
      </c>
      <c r="E80" s="14" t="inlineStr">
        <is>
          <t>A non-prod table with one of these names.</t>
        </is>
      </c>
      <c r="F80" s="14" t="inlineStr">
        <is>
          <t>Run: python -m engine.scripts.run_lifecycle_scan --environment preprod --no-dry-run</t>
        </is>
      </c>
      <c r="G80" s="14" t="inlineStr">
        <is>
          <t>That table is flagged as a backup-pattern table.</t>
        </is>
      </c>
      <c r="H80" s="14" t="inlineStr">
        <is>
          <t>Both</t>
        </is>
      </c>
      <c r="I80" s="14" t="inlineStr"/>
      <c r="J80" s="14" t="inlineStr"/>
    </row>
    <row r="81" ht="48" customHeight="1">
      <c r="A81" s="15" t="inlineStr">
        <is>
          <t>LFC-10</t>
        </is>
      </c>
      <c r="B81" s="15" t="inlineStr">
        <is>
          <t>Lifecycle Engine</t>
        </is>
      </c>
      <c r="C81" s="15" t="inlineStr">
        <is>
          <t>Cleanup really deletes an expired table (TEST TABLES ONLY)</t>
        </is>
      </c>
      <c r="D81" s="15" t="inlineStr">
        <is>
          <t>Checks that cleanup really deletes an expired table, from both Glue and S3. Use a disposable test table only.</t>
        </is>
      </c>
      <c r="E81" s="15" t="inlineStr">
        <is>
          <t>A disposable test table pushed into PENDING_DROP with its countdown already expired.</t>
        </is>
      </c>
      <c r="F81" s="15" t="inlineStr">
        <is>
          <t>Run: python -m engine.scripts.run_cleanup --environment preprod --no-dry-run</t>
        </is>
      </c>
      <c r="G81" s="15" t="inlineStr">
        <is>
          <t>The table is gone from Glue. Its S3 data is gone. The tracking row shows DROPPED, with storage reclaimed. It shows up in Deletion History.</t>
        </is>
      </c>
      <c r="H81" s="15" t="inlineStr">
        <is>
          <t>Both -- test tables only, never a real project table</t>
        </is>
      </c>
      <c r="I81" s="15" t="inlineStr"/>
      <c r="J81" s="15" t="inlineStr"/>
    </row>
    <row r="82" ht="48" customHeight="1">
      <c r="A82" s="14" t="inlineStr">
        <is>
          <t>LFC-11</t>
        </is>
      </c>
      <c r="B82" s="14" t="inlineStr">
        <is>
          <t>Lifecycle Engine</t>
        </is>
      </c>
      <c r="C82" s="14" t="inlineStr">
        <is>
          <t>Cleanup re-checks a table right before deleting it (TEST TABLES ONLY)</t>
        </is>
      </c>
      <c r="D82" s="14" t="inlineStr">
        <is>
          <t>Checks that cleanup double-checks a table's state right before deleting it, in case someone exempted it moments earlier.</t>
        </is>
      </c>
      <c r="E82" s="14" t="inlineStr">
        <is>
          <t>Two expired test tables queued for cleanup.</t>
        </is>
      </c>
      <c r="F82" s="14" t="inlineStr">
        <is>
          <t>Start cleanup. The moment it begins, exempt one of the two tables from another window, before cleanup reaches it.</t>
        </is>
      </c>
      <c r="G82" s="14" t="inlineStr">
        <is>
          <t>The exempted table is spared. The other one is still deleted normally.</t>
        </is>
      </c>
      <c r="H82" s="14" t="inlineStr">
        <is>
          <t>Both -- test tables only</t>
        </is>
      </c>
      <c r="I82" s="14" t="inlineStr"/>
      <c r="J82" s="14" t="inlineStr"/>
    </row>
    <row r="83" ht="48" customHeight="1">
      <c r="A83" s="15" t="inlineStr">
        <is>
          <t>LFC-12</t>
        </is>
      </c>
      <c r="B83" s="15" t="inlineStr">
        <is>
          <t>Lifecycle Engine</t>
        </is>
      </c>
      <c r="C83" s="15" t="inlineStr">
        <is>
          <t>Cleanup refuses to delete if the domain got turned off (TEST TABLES ONLY)</t>
        </is>
      </c>
      <c r="D83" s="15" t="inlineStr">
        <is>
          <t>Checks that cleanup refuses to delete a table if its domain got turned off after the table was marked for deletion.</t>
        </is>
      </c>
      <c r="E83" s="15" t="inlineStr">
        <is>
          <t>An expired test table whose domain is currently active.</t>
        </is>
      </c>
      <c r="F83" s="15" t="inlineStr">
        <is>
          <t>Turn the domain off right before or during the run.
Run: python -m engine.scripts.run_cleanup --environment preprod --no-dry-run</t>
        </is>
      </c>
      <c r="G83" s="15" t="inlineStr">
        <is>
          <t>The table is skipped, not deleted. Turn the domain back on and confirm a later run does delete it (as a sanity check).</t>
        </is>
      </c>
      <c r="H83" s="15" t="inlineStr">
        <is>
          <t>Both -- test tables only</t>
        </is>
      </c>
      <c r="I83" s="15" t="inlineStr"/>
      <c r="J83" s="15" t="inlineStr"/>
    </row>
    <row r="84" ht="48" customHeight="1">
      <c r="A84" s="14" t="inlineStr">
        <is>
          <t>LFC-13</t>
        </is>
      </c>
      <c r="B84" s="14" t="inlineStr">
        <is>
          <t>Lifecycle Engine</t>
        </is>
      </c>
      <c r="C84" s="14" t="inlineStr">
        <is>
          <t>Cleanup also respects the table lock (TEST TABLES ONLY)</t>
        </is>
      </c>
      <c r="D84" s="14" t="inlineStr">
        <is>
          <t>Checks that cleanup respects the table lock, like housekeeping and archiving do.</t>
        </is>
      </c>
      <c r="E84" s="14" t="inlineStr">
        <is>
          <t>None.</t>
        </is>
      </c>
      <c r="F84" s="14" t="inlineStr">
        <is>
          <t>Hold a lock manually on an expired test table.
Run: python -m engine.scripts.run_cleanup --environment preprod --no-dry-run</t>
        </is>
      </c>
      <c r="G84" s="14" t="inlineStr">
        <is>
          <t>That table's delete is skipped or delayed instead of happening at the same time as the lock holder.</t>
        </is>
      </c>
      <c r="H84" s="14" t="inlineStr">
        <is>
          <t>Both -- test tables only</t>
        </is>
      </c>
      <c r="I84" s="14" t="inlineStr"/>
      <c r="J84" s="14" t="inlineStr"/>
    </row>
    <row r="85" ht="48" customHeight="1">
      <c r="A85" s="15" t="inlineStr">
        <is>
          <t>LFC-14</t>
        </is>
      </c>
      <c r="B85" s="15" t="inlineStr">
        <is>
          <t>Lifecycle Engine</t>
        </is>
      </c>
      <c r="C85" s="15" t="inlineStr">
        <is>
          <t>Dry-run cleanup deletes nothing</t>
        </is>
      </c>
      <c r="D85" s="15" t="inlineStr">
        <is>
          <t>Checks that a dry-run cleanup deletes nothing.</t>
        </is>
      </c>
      <c r="E85" s="15" t="inlineStr">
        <is>
          <t>An expired PENDING_DROP test table.</t>
        </is>
      </c>
      <c r="F85" s="15" t="inlineStr">
        <is>
          <t>Run: python -m engine.scripts.run_cleanup --environment preprod --dry-run</t>
        </is>
      </c>
      <c r="G85" s="15" t="inlineStr">
        <is>
          <t>The table still exists in Glue and S3 afterward. Screen shows what WOULD be deleted.</t>
        </is>
      </c>
      <c r="H85" s="15" t="inlineStr">
        <is>
          <t>Both</t>
        </is>
      </c>
      <c r="I85" s="15" t="inlineStr"/>
      <c r="J85" s="15" t="inlineStr"/>
    </row>
    <row r="86" ht="48" customHeight="1">
      <c r="A86" s="14" t="inlineStr">
        <is>
          <t>LFC-15</t>
        </is>
      </c>
      <c r="B86" s="14" t="inlineStr">
        <is>
          <t>Lifecycle Engine</t>
        </is>
      </c>
      <c r="C86" s="14" t="inlineStr">
        <is>
          <t>Saving a new non-prod table doesn't silently fail</t>
        </is>
      </c>
      <c r="D86" s="14" t="inlineStr">
        <is>
          <t>Checks that saving a newly-found non-prod table works correctly, and doesn't silently fail.</t>
        </is>
      </c>
      <c r="E86" s="14" t="inlineStr">
        <is>
          <t>A brand-new non-prod table never seen by a scan before.</t>
        </is>
      </c>
      <c r="F86" s="14" t="inlineStr">
        <is>
          <t>Run: python -m engine.scripts.run_lifecycle_scan --environment preprod --no-dry-run twice in a row.</t>
        </is>
      </c>
      <c r="G86" s="14" t="inlineStr">
        <is>
          <t>Both runs report zero errors. The table ends up with exactly one row, not zero and not two.</t>
        </is>
      </c>
      <c r="H86" s="14" t="inlineStr">
        <is>
          <t>Both</t>
        </is>
      </c>
      <c r="I86" s="14" t="inlineStr"/>
      <c r="J86" s="14" t="inlineStr"/>
    </row>
    <row r="87" ht="48" customHeight="1">
      <c r="A87" s="15" t="inlineStr">
        <is>
          <t>LFC-16</t>
        </is>
      </c>
      <c r="B87" s="15" t="inlineStr">
        <is>
          <t>Lifecycle Engine</t>
        </is>
      </c>
      <c r="C87" s="15" t="inlineStr">
        <is>
          <t>All three lifecycle commands report failure correctly</t>
        </is>
      </c>
      <c r="D87" s="15" t="inlineStr">
        <is>
          <t>Checks that all three lifecycle commands correctly report failure when something goes wrong.</t>
        </is>
      </c>
      <c r="E87" s="15" t="inlineStr">
        <is>
          <t>A domain with a table set up to fail.</t>
        </is>
      </c>
      <c r="F87" s="15" t="inlineStr">
        <is>
          <t>Run each of the three lifecycle scripts against it.
Check the exit code after each.</t>
        </is>
      </c>
      <c r="G87" s="15" t="inlineStr">
        <is>
          <t>Exit code is 1 whenever a table failed.</t>
        </is>
      </c>
      <c r="H87" s="15" t="inlineStr">
        <is>
          <t>Both</t>
        </is>
      </c>
      <c r="I87" s="15" t="inlineStr"/>
      <c r="J87" s="15" t="inlineStr"/>
    </row>
    <row r="88" ht="48" customHeight="1">
      <c r="A88" s="14" t="inlineStr">
        <is>
          <t>REC-01</t>
        </is>
      </c>
      <c r="B88" s="14" t="inlineStr">
        <is>
          <t>Recovery</t>
        </is>
      </c>
      <c r="C88" s="14" t="inlineStr">
        <is>
          <t>Rollback lists real, past versions of a table</t>
        </is>
      </c>
      <c r="D88" s="14" t="inlineStr">
        <is>
          <t>Checks that the rollback tool lists real, previous versions of a table's metadata.</t>
        </is>
      </c>
      <c r="E88" s="14" t="inlineStr">
        <is>
          <t>A table with at least 2 completed housekeeping runs.</t>
        </is>
      </c>
      <c r="F88" s="14" t="inlineStr">
        <is>
          <t>Run: python scripts/recover_metadata.py --fqn &lt;fqn&gt; --dry-run</t>
        </is>
      </c>
      <c r="G88" s="14" t="inlineStr">
        <is>
          <t>The list shows real, past metadata locations, newest first.</t>
        </is>
      </c>
      <c r="H88" s="14" t="inlineStr">
        <is>
          <t>Both</t>
        </is>
      </c>
      <c r="I88" s="14" t="inlineStr"/>
      <c r="J88" s="14" t="inlineStr"/>
    </row>
    <row r="89" ht="48" customHeight="1">
      <c r="A89" s="15" t="inlineStr">
        <is>
          <t>REC-02</t>
        </is>
      </c>
      <c r="B89" s="15" t="inlineStr">
        <is>
          <t>Recovery</t>
        </is>
      </c>
      <c r="C89" s="15" t="inlineStr">
        <is>
          <t>Rollback refuses a target that doesn't exist</t>
        </is>
      </c>
      <c r="D89" s="15" t="inlineStr">
        <is>
          <t>Checks that the rollback tool refuses a target file that doesn't actually exist.</t>
        </is>
      </c>
      <c r="E89" s="15" t="inlineStr">
        <is>
          <t>None.</t>
        </is>
      </c>
      <c r="F89" s="15" t="inlineStr">
        <is>
          <t>Run: python scripts/recover_metadata.py --fqn &lt;fqn&gt; --to s3://&lt;bucket&gt;/bogus.metadata.json --dry-run</t>
        </is>
      </c>
      <c r="G89" s="15" t="inlineStr">
        <is>
          <t>It says the target is invalid, with a clear reason. It exits with an error. Nothing in Glue changes.</t>
        </is>
      </c>
      <c r="H89" s="15" t="inlineStr">
        <is>
          <t>Both</t>
        </is>
      </c>
      <c r="I89" s="15" t="inlineStr"/>
      <c r="J89" s="15" t="inlineStr"/>
    </row>
    <row r="90" ht="48" customHeight="1">
      <c r="A90" s="14" t="inlineStr">
        <is>
          <t>REC-03</t>
        </is>
      </c>
      <c r="B90" s="14" t="inlineStr">
        <is>
          <t>Recovery</t>
        </is>
      </c>
      <c r="C90" s="14" t="inlineStr">
        <is>
          <t>A dry-run rollback changes nothing</t>
        </is>
      </c>
      <c r="D90" s="14" t="inlineStr">
        <is>
          <t>Checks that a dry-run rollback changes nothing.</t>
        </is>
      </c>
      <c r="E90" s="14" t="inlineStr">
        <is>
          <t>A valid rollback option exists for a table.</t>
        </is>
      </c>
      <c r="F90" s="14" t="inlineStr">
        <is>
          <t>Run: python scripts/recover_metadata.py --fqn &lt;fqn&gt; --dry-run (pick a target, give a reason).</t>
        </is>
      </c>
      <c r="G90" s="14" t="inlineStr">
        <is>
          <t>Screen says 'DRY RUN -- no changes made'. The table's real metadata pointer is unchanged. A log entry is still recorded.</t>
        </is>
      </c>
      <c r="H90" s="14" t="inlineStr">
        <is>
          <t>Both</t>
        </is>
      </c>
      <c r="I90" s="14" t="inlineStr"/>
      <c r="J90" s="14" t="inlineStr"/>
    </row>
    <row r="91" ht="48" customHeight="1">
      <c r="A91" s="15" t="inlineStr">
        <is>
          <t>REC-04</t>
        </is>
      </c>
      <c r="B91" s="15" t="inlineStr">
        <is>
          <t>Recovery</t>
        </is>
      </c>
      <c r="C91" s="15" t="inlineStr">
        <is>
          <t>A real rollback only changes the metadata pointer (TEST TABLE ONLY)</t>
        </is>
      </c>
      <c r="D91" s="15" t="inlineStr">
        <is>
          <t>Checks that a real rollback only changes the metadata pointer, and leaves every other table setting untouched.</t>
        </is>
      </c>
      <c r="E91" s="15" t="inlineStr">
        <is>
          <t>A valid rollback option on a disposable test table.</t>
        </is>
      </c>
      <c r="F91" s="15" t="inlineStr">
        <is>
          <t>Note all of the table's current settings first.
Run: python scripts/recover_metadata.py --fqn &lt;fqn&gt; --no-dry-run (type the table name to confirm).
Check the settings again.</t>
        </is>
      </c>
      <c r="G91" s="15" t="inlineStr">
        <is>
          <t>Only the metadata pointer changed. Everything else is identical. An alert is sent. A log entry is recorded.</t>
        </is>
      </c>
      <c r="H91" s="15" t="inlineStr">
        <is>
          <t>Both -- test table only</t>
        </is>
      </c>
      <c r="I91" s="15" t="inlineStr"/>
      <c r="J91" s="15" t="inlineStr"/>
    </row>
    <row r="92" ht="48" customHeight="1">
      <c r="A92" s="14" t="inlineStr">
        <is>
          <t>REC-05</t>
        </is>
      </c>
      <c r="B92" s="14" t="inlineStr">
        <is>
          <t>Recovery</t>
        </is>
      </c>
      <c r="C92" s="14" t="inlineStr">
        <is>
          <t>A wrong confirmation name blocks the rollback</t>
        </is>
      </c>
      <c r="D92" s="14" t="inlineStr">
        <is>
          <t>Checks that typing the wrong table name at the confirmation step blocks the rollback.</t>
        </is>
      </c>
      <c r="E92" s="14" t="inlineStr">
        <is>
          <t>A valid rollback option exists.</t>
        </is>
      </c>
      <c r="F92" s="14" t="inlineStr">
        <is>
          <t>Run: python scripts/recover_metadata.py --fqn &lt;fqn&gt; --no-dry-run and type the wrong name when asked to confirm.</t>
        </is>
      </c>
      <c r="G92" s="14" t="inlineStr">
        <is>
          <t>It says the confirmation didn't match, and stops. Nothing changes in Glue.</t>
        </is>
      </c>
      <c r="H92" s="14" t="inlineStr">
        <is>
          <t>Both</t>
        </is>
      </c>
      <c r="I92" s="14" t="inlineStr"/>
      <c r="J92" s="14" t="inlineStr"/>
    </row>
    <row r="93" ht="48" customHeight="1">
      <c r="A93" s="15" t="inlineStr">
        <is>
          <t>CP-01</t>
        </is>
      </c>
      <c r="B93" s="15" t="inlineStr">
        <is>
          <t>Control Plane</t>
        </is>
      </c>
      <c r="C93" s="15" t="inlineStr">
        <is>
          <t>App changes are instantly visible to the engine</t>
        </is>
      </c>
      <c r="D93" s="15" t="inlineStr">
        <is>
          <t>Checks that a change made through the app is instantly visible to the engine, with no delay.</t>
        </is>
      </c>
      <c r="E93" s="15" t="inlineStr">
        <is>
          <t>The main database is set up.</t>
        </is>
      </c>
      <c r="F93" s="15" t="inlineStr">
        <is>
          <t>Change a domain's name through the app or API.
Right after, check it from Python using the engine's own read function.</t>
        </is>
      </c>
      <c r="G93" s="15" t="inlineStr">
        <is>
          <t>The engine sees the new value immediately, with no waiting or refreshing needed.</t>
        </is>
      </c>
      <c r="H93" s="15" t="inlineStr">
        <is>
          <t>Both</t>
        </is>
      </c>
      <c r="I93" s="15" t="inlineStr"/>
      <c r="J93" s="15" t="inlineStr"/>
    </row>
    <row r="94" ht="48" customHeight="1">
      <c r="A94" s="14" t="inlineStr">
        <is>
          <t>CP-02</t>
        </is>
      </c>
      <c r="B94" s="14" t="inlineStr">
        <is>
          <t>Control Plane</t>
        </is>
      </c>
      <c r="C94" s="14" t="inlineStr">
        <is>
          <t>Engine-owned columns stay only in the cloud, not the local copy</t>
        </is>
      </c>
      <c r="D94" s="14" t="inlineStr">
        <is>
          <t>Checks that a few special columns (owned by the engine, not the app) are kept only in the cloud table, not copied into the local database.</t>
        </is>
      </c>
      <c r="E94" s="14" t="inlineStr">
        <is>
          <t>None.</t>
        </is>
      </c>
      <c r="F94" s="14" t="inlineStr">
        <is>
          <t>List the columns in the local stream_registry table.
Compare to the columns in the cloud version.</t>
        </is>
      </c>
      <c r="G94" s="14" t="inlineStr">
        <is>
          <t>The engine-owned columns (like AWS-conflict flags) exist in the cloud version but not in the local one.</t>
        </is>
      </c>
      <c r="H94" s="14" t="inlineStr">
        <is>
          <t>Both</t>
        </is>
      </c>
      <c r="I94" s="14" t="inlineStr"/>
      <c r="J94" s="14" t="inlineStr"/>
    </row>
    <row r="95" ht="48" customHeight="1">
      <c r="A95" s="15" t="inlineStr">
        <is>
          <t>CP-03</t>
        </is>
      </c>
      <c r="B95" s="15" t="inlineStr">
        <is>
          <t>Control Plane</t>
        </is>
      </c>
      <c r="C95" s="15" t="inlineStr">
        <is>
          <t>Background sync copies changes to the cloud on schedule</t>
        </is>
      </c>
      <c r="D95" s="15" t="inlineStr">
        <is>
          <t>Checks that the background sync job actually copies changes from the local database to the cloud on schedule.</t>
        </is>
      </c>
      <c r="E95" s="15" t="inlineStr">
        <is>
          <t>The sync service is running, or run it once by hand.</t>
        </is>
      </c>
      <c r="F95" s="15" t="inlineStr">
        <is>
          <t>Change a domain's name through the app.
Wait for a sync cycle (or run scripts/control_plane_sync.py once by hand).
Check the cloud copy directly.</t>
        </is>
      </c>
      <c r="G95" s="15" t="inlineStr">
        <is>
          <t>The cloud copy shows the change after the sync runs. Special engine-owned columns are kept, not wiped out.</t>
        </is>
      </c>
      <c r="H95" s="15" t="inlineStr">
        <is>
          <t>Both</t>
        </is>
      </c>
      <c r="I95" s="15" t="inlineStr"/>
      <c r="J95" s="15" t="inlineStr"/>
    </row>
    <row r="96" ht="48" customHeight="1">
      <c r="A96" s="14" t="inlineStr">
        <is>
          <t>CP-04</t>
        </is>
      </c>
      <c r="B96" s="14" t="inlineStr">
        <is>
          <t>Control Plane</t>
        </is>
      </c>
      <c r="C96" s="14" t="inlineStr">
        <is>
          <t>Sync refuses to wipe cloud data from a suspiciously empty local copy</t>
        </is>
      </c>
      <c r="D96" s="14" t="inlineStr">
        <is>
          <t>Checks that sync refuses to wipe out real cloud data if the local database looks suspiciously empty. Use a throwaway copy of the database for this test.</t>
        </is>
      </c>
      <c r="E96" s="14" t="inlineStr">
        <is>
          <t>A table with real data already synced to the cloud. A spare, throwaway copy of the local database file.</t>
        </is>
      </c>
      <c r="F96" s="14" t="inlineStr">
        <is>
          <t>On the throwaway copy only, delete all rows from one table, then try to sync it to the real cloud table.</t>
        </is>
      </c>
      <c r="G96" s="14" t="inlineStr">
        <is>
          <t>Sync refuses and sends an alert instead of wiping out the cloud data. A special setting is needed to force it through on purpose.</t>
        </is>
      </c>
      <c r="H96" s="14" t="inlineStr">
        <is>
          <t>Both -- throwaway database copy only</t>
        </is>
      </c>
      <c r="I96" s="14" t="inlineStr"/>
      <c r="J96" s="14" t="inlineStr"/>
    </row>
    <row r="97" ht="48" customHeight="1">
      <c r="A97" s="15" t="inlineStr">
        <is>
          <t>CP-05</t>
        </is>
      </c>
      <c r="B97" s="15" t="inlineStr">
        <is>
          <t>Control Plane</t>
        </is>
      </c>
      <c r="C97" s="15" t="inlineStr">
        <is>
          <t>Backups are saved to S3 and can be checked before restoring</t>
        </is>
      </c>
      <c r="D97" s="15" t="inlineStr">
        <is>
          <t>Checks that scheduled backups are saved to S3 and can be checked before restoring.</t>
        </is>
      </c>
      <c r="E97" s="15" t="inlineStr">
        <is>
          <t>The backup service is running, or run it once by hand.</t>
        </is>
      </c>
      <c r="F97" s="15" t="inlineStr">
        <is>
          <t>Confirm a new backup file appears in S3.
Run: python scripts/control_plane_restore.py --latest --dry-run</t>
        </is>
      </c>
      <c r="G97" s="15" t="inlineStr">
        <is>
          <t>The backup shows up right away. The dry-run preview correctly picks the newest one and makes no changes.</t>
        </is>
      </c>
      <c r="H97" s="15" t="inlineStr">
        <is>
          <t>Both</t>
        </is>
      </c>
      <c r="I97" s="15" t="inlineStr"/>
      <c r="J97" s="15" t="inlineStr"/>
    </row>
    <row r="98" ht="48" customHeight="1">
      <c r="A98" s="14" t="inlineStr">
        <is>
          <t>CP-06</t>
        </is>
      </c>
      <c r="B98" s="14" t="inlineStr">
        <is>
          <t>Control Plane</t>
        </is>
      </c>
      <c r="C98" s="14" t="inlineStr">
        <is>
          <t>Restoring refuses a broken backup file</t>
        </is>
      </c>
      <c r="D98" s="14" t="inlineStr">
        <is>
          <t>Checks that restoring refuses a broken or unreadable backup file, without touching the real database.</t>
        </is>
      </c>
      <c r="E98" s="14" t="inlineStr">
        <is>
          <t>Upload a deliberately broken file to the backups folder in S3.</t>
        </is>
      </c>
      <c r="F98" s="14" t="inlineStr">
        <is>
          <t>Run: python scripts/control_plane_restore.py --key &lt;bad-key&gt; --dest ./scratch_restore_test.db (use a throwaway file path).</t>
        </is>
      </c>
      <c r="G98" s="14" t="inlineStr">
        <is>
          <t>It refuses the backup with a clear error. The throwaway file is left empty or missing. Delete the bad test file afterward.</t>
        </is>
      </c>
      <c r="H98" s="14" t="inlineStr">
        <is>
          <t>Both</t>
        </is>
      </c>
      <c r="I98" s="14" t="inlineStr"/>
      <c r="J98" s="14" t="inlineStr"/>
    </row>
    <row r="99" ht="48" customHeight="1">
      <c r="A99" s="15" t="inlineStr">
        <is>
          <t>CP-07</t>
        </is>
      </c>
      <c r="B99" s="15" t="inlineStr">
        <is>
          <t>Control Plane</t>
        </is>
      </c>
      <c r="C99" s="15" t="inlineStr">
        <is>
          <t>The daily health check notices real corruption</t>
        </is>
      </c>
      <c r="D99" s="15" t="inlineStr">
        <is>
          <t>Checks that the daily health check on the database notices real corruption and sends an alert.</t>
        </is>
      </c>
      <c r="E99" s="15" t="inlineStr">
        <is>
          <t>A throwaway, deliberately damaged copy of the database file.</t>
        </is>
      </c>
      <c r="F99" s="15" t="inlineStr">
        <is>
          <t>Point the database setting at the damaged throwaway copy.
Run: python scripts/control_plane_integrity_check.py</t>
        </is>
      </c>
      <c r="G99" s="15" t="inlineStr">
        <is>
          <t>It reports a failure with details, exits with an error, and sends an alert. Switch back to the real database path afterward.</t>
        </is>
      </c>
      <c r="H99" s="15" t="inlineStr">
        <is>
          <t>Both</t>
        </is>
      </c>
      <c r="I99" s="15" t="inlineStr"/>
      <c r="J99" s="15" t="inlineStr"/>
    </row>
    <row r="100" ht="48" customHeight="1">
      <c r="A100" s="14" t="inlineStr">
        <is>
          <t>CP-08</t>
        </is>
      </c>
      <c r="B100" s="14" t="inlineStr">
        <is>
          <t>Control Plane</t>
        </is>
      </c>
      <c r="C100" s="14" t="inlineStr">
        <is>
          <t>An empty database auto-restores from the latest backup</t>
        </is>
      </c>
      <c r="D100" s="14" t="inlineStr">
        <is>
          <t>Checks that if the database ever comes up empty, Zamboni automatically restores it from the latest backup.</t>
        </is>
      </c>
      <c r="E100" s="14" t="inlineStr">
        <is>
          <t>A throwaway, empty database path. At least one real backup exists in S3.</t>
        </is>
      </c>
      <c r="F100" s="14" t="inlineStr">
        <is>
          <t>Make sure the throwaway path doesn't exist yet.
Run: python scripts/init_control_plane_db.py pointed at it.</t>
        </is>
      </c>
      <c r="G100" s="14" t="inlineStr">
        <is>
          <t>It says it auto-restored from a backup. The tables now have real data, not empty ones.</t>
        </is>
      </c>
      <c r="H100" s="14" t="inlineStr">
        <is>
          <t>Both</t>
        </is>
      </c>
      <c r="I100" s="14" t="inlineStr"/>
      <c r="J100" s="14" t="inlineStr"/>
    </row>
    <row r="101" ht="48" customHeight="1">
      <c r="A101" s="15" t="inlineStr">
        <is>
          <t>CP-09</t>
        </is>
      </c>
      <c r="B101" s="15" t="inlineStr">
        <is>
          <t>Control Plane</t>
        </is>
      </c>
      <c r="C101" s="15" t="inlineStr">
        <is>
          <t>Zamboni refuses to start silently empty</t>
        </is>
      </c>
      <c r="D101" s="15" t="inlineStr">
        <is>
          <t>Checks that Zamboni refuses to start with a silently-empty database, unless someone confirms that's expected.</t>
        </is>
      </c>
      <c r="E101" s="15" t="inlineStr">
        <is>
          <t>No backups exist yet for a throwaway test path.</t>
        </is>
      </c>
      <c r="F101" s="15" t="inlineStr">
        <is>
          <t>Run: python scripts/init_control_plane_db.py against the empty, backup-free path.</t>
        </is>
      </c>
      <c r="G101" s="15" t="inlineStr">
        <is>
          <t>It refuses to continue and explains why, instead of quietly starting empty.</t>
        </is>
      </c>
      <c r="H101" s="15" t="inlineStr">
        <is>
          <t>Both</t>
        </is>
      </c>
      <c r="I101" s="15" t="inlineStr"/>
      <c r="J101" s="15" t="inlineStr"/>
    </row>
    <row r="102" ht="48" customHeight="1">
      <c r="A102" s="14" t="inlineStr">
        <is>
          <t>CP-10</t>
        </is>
      </c>
      <c r="B102" s="14" t="inlineStr">
        <is>
          <t>Control Plane</t>
        </is>
      </c>
      <c r="C102" s="14" t="inlineStr">
        <is>
          <t>A first-install setting acknowledges a genuinely new setup</t>
        </is>
      </c>
      <c r="D102" s="14" t="inlineStr">
        <is>
          <t>Checks that there's a deliberate way to confirm 'yes, this really is a brand-new setup' when there's no backup.</t>
        </is>
      </c>
      <c r="E102" s="14" t="inlineStr">
        <is>
          <t>Same empty, no-backup situation as CP-09.</t>
        </is>
      </c>
      <c r="F102" s="14" t="inlineStr">
        <is>
          <t>Turn on the 'first install' setting.
Run: python scripts/init_control_plane_db.py again.</t>
        </is>
      </c>
      <c r="G102" s="14" t="inlineStr">
        <is>
          <t>It proceeds and clearly says this was acknowledged as a first-time setup. Turn the setting back off afterward.</t>
        </is>
      </c>
      <c r="H102" s="14" t="inlineStr">
        <is>
          <t>Both</t>
        </is>
      </c>
      <c r="I102" s="14" t="inlineStr"/>
      <c r="J102" s="14" t="inlineStr"/>
    </row>
    <row r="103" ht="48" customHeight="1">
      <c r="A103" s="15" t="inlineStr">
        <is>
          <t>CP-11</t>
        </is>
      </c>
      <c r="B103" s="15" t="inlineStr">
        <is>
          <t>Control Plane</t>
        </is>
      </c>
      <c r="C103" s="15" t="inlineStr">
        <is>
          <t>Database updates apply exactly once and don't half-finish</t>
        </is>
      </c>
      <c r="D103" s="15" t="inlineStr">
        <is>
          <t>Checks that database updates only apply once, and a failed update doesn't leave things half-changed.</t>
        </is>
      </c>
      <c r="E103" s="15" t="inlineStr">
        <is>
          <t>None for the normal case. A throwaway copy missing one column, for the failure case.</t>
        </is>
      </c>
      <c r="F103" s="15" t="inlineStr">
        <is>
          <t>Run the setup script on an up-to-date database (expect no changes).
Then run it on a throwaway copy missing a column.</t>
        </is>
      </c>
      <c r="G103" s="15" t="inlineStr">
        <is>
          <t>The up-to-date database reports zero new changes. The throwaway copy gets exactly the one missing piece added, and passes its own check afterward.</t>
        </is>
      </c>
      <c r="H103" s="15" t="inlineStr">
        <is>
          <t>Both</t>
        </is>
      </c>
      <c r="I103" s="15" t="inlineStr"/>
      <c r="J103" s="15" t="inlineStr"/>
    </row>
    <row r="104" ht="48" customHeight="1">
      <c r="A104" s="14" t="inlineStr">
        <is>
          <t>CP-12</t>
        </is>
      </c>
      <c r="B104" s="14" t="inlineStr">
        <is>
          <t>Control Plane</t>
        </is>
      </c>
      <c r="C104" s="14" t="inlineStr">
        <is>
          <t>The database survives a server replacement (DISRUPTIVE)</t>
        </is>
      </c>
      <c r="D104" s="14" t="inlineStr">
        <is>
          <t>Checks that the database survives even if the EC2 server itself gets replaced. This is a disruptive test -- plan it deliberately, not during active use.</t>
        </is>
      </c>
      <c r="E104" s="14" t="inlineStr">
        <is>
          <t>The app is deployed on EC2.</t>
        </is>
      </c>
      <c r="F104" s="14" t="inlineStr">
        <is>
          <t>Register a test domain through the app.
Force the server to be replaced (for example, by changing the machine image).
After the new server is up, check for the test domain.</t>
        </is>
      </c>
      <c r="G104" s="14" t="inlineStr">
        <is>
          <t>The test domain is still there -- the storage survived the replacement instead of starting empty.</t>
        </is>
      </c>
      <c r="H104" s="14" t="inlineStr">
        <is>
          <t>aws_ec2</t>
        </is>
      </c>
      <c r="I104" s="14" t="inlineStr"/>
      <c r="J104" s="14" t="inlineStr"/>
    </row>
    <row r="105" ht="48" customHeight="1">
      <c r="A105" s="15" t="inlineStr">
        <is>
          <t>RPT-01</t>
        </is>
      </c>
      <c r="B105" s="15" t="inlineStr">
        <is>
          <t>Reporting</t>
        </is>
      </c>
      <c r="C105" s="15" t="inlineStr">
        <is>
          <t>Cost report totals match a manual check</t>
        </is>
      </c>
      <c r="D105" s="15" t="inlineStr">
        <is>
          <t>Checks that the cost report's totals match a manual check of the raw data.</t>
        </is>
      </c>
      <c r="E105" s="15" t="inlineStr">
        <is>
          <t>Some completed runs exist with recorded data-scanned amounts.</t>
        </is>
      </c>
      <c r="F105" s="15" t="inlineStr">
        <is>
          <t>Run: python -m engine.cli.cost_report --days 30
Separately, add up the same numbers directly from the log table.</t>
        </is>
      </c>
      <c r="G105" s="15" t="inlineStr">
        <is>
          <t>The two totals match.</t>
        </is>
      </c>
      <c r="H105" s="15" t="inlineStr">
        <is>
          <t>Both</t>
        </is>
      </c>
      <c r="I105" s="15" t="inlineStr"/>
      <c r="J105" s="15" t="inlineStr"/>
    </row>
    <row r="106" ht="48" customHeight="1">
      <c r="A106" s="14" t="inlineStr">
        <is>
          <t>RPT-02</t>
        </is>
      </c>
      <c r="B106" s="14" t="inlineStr">
        <is>
          <t>Reporting</t>
        </is>
      </c>
      <c r="C106" s="14" t="inlineStr">
        <is>
          <t>Exporting the cost report to a file works</t>
        </is>
      </c>
      <c r="D106" s="14" t="inlineStr">
        <is>
          <t>Checks that exporting the cost report to a CSV file works.</t>
        </is>
      </c>
      <c r="E106" s="14" t="inlineStr">
        <is>
          <t>None.</t>
        </is>
      </c>
      <c r="F106" s="14" t="inlineStr">
        <is>
          <t>Run: python -m engine.cli.cost_report --export cost_test.csv</t>
        </is>
      </c>
      <c r="G106" s="14" t="inlineStr">
        <is>
          <t>The file exists, opens cleanly, and matches what's on screen.</t>
        </is>
      </c>
      <c r="H106" s="14" t="inlineStr">
        <is>
          <t>Both</t>
        </is>
      </c>
      <c r="I106" s="14" t="inlineStr"/>
      <c r="J106" s="14" t="inlineStr"/>
    </row>
    <row r="107" ht="48" customHeight="1">
      <c r="A107" s="15" t="inlineStr">
        <is>
          <t>RPT-03</t>
        </is>
      </c>
      <c r="B107" s="15" t="inlineStr">
        <is>
          <t>Reporting</t>
        </is>
      </c>
      <c r="C107" s="15" t="inlineStr">
        <is>
          <t>Fleet coverage percentage is calculated correctly</t>
        </is>
      </c>
      <c r="D107" s="15" t="inlineStr">
        <is>
          <t>Checks that the fleet coverage percentage is calculated correctly.</t>
        </is>
      </c>
      <c r="E107" s="15" t="inlineStr">
        <is>
          <t>A domain with a known mix of on/off tables.</t>
        </is>
      </c>
      <c r="F107" s="15" t="inlineStr">
        <is>
          <t>Run: python -m engine.cli.fleet_status coverage --domain &lt;domain&gt;
Cross-check by counting the tables yourself.</t>
        </is>
      </c>
      <c r="G107" s="15" t="inlineStr">
        <is>
          <t>The printed totals and percentage exactly match your manual count.</t>
        </is>
      </c>
      <c r="H107" s="15" t="inlineStr">
        <is>
          <t>Both</t>
        </is>
      </c>
      <c r="I107" s="15" t="inlineStr"/>
      <c r="J107" s="15" t="inlineStr"/>
    </row>
    <row r="108" ht="48" customHeight="1">
      <c r="A108" s="14" t="inlineStr">
        <is>
          <t>RPT-04</t>
        </is>
      </c>
      <c r="B108" s="14" t="inlineStr">
        <is>
          <t>Reporting</t>
        </is>
      </c>
      <c r="C108" s="14" t="inlineStr">
        <is>
          <t>Never-housekept tables show up on the stale report</t>
        </is>
      </c>
      <c r="D108" s="14" t="inlineStr">
        <is>
          <t>Checks that tables which have never been housekept show up on the stale report.</t>
        </is>
      </c>
      <c r="E108" s="14" t="inlineStr">
        <is>
          <t>A table that's turned on but has never actually run, or hasn't run in a while.</t>
        </is>
      </c>
      <c r="F108" s="14" t="inlineStr">
        <is>
          <t>Run: python -m engine.cli.fleet_status stale --domain &lt;domain&gt; --days 14</t>
        </is>
      </c>
      <c r="G108" s="14" t="inlineStr">
        <is>
          <t>That table appears on the list. A recently-run table does not.</t>
        </is>
      </c>
      <c r="H108" s="14" t="inlineStr">
        <is>
          <t>Both</t>
        </is>
      </c>
      <c r="I108" s="14" t="inlineStr"/>
      <c r="J108" s="14" t="inlineStr"/>
    </row>
    <row r="109" ht="48" customHeight="1">
      <c r="A109" s="15" t="inlineStr">
        <is>
          <t>RPT-05</t>
        </is>
      </c>
      <c r="B109" s="15" t="inlineStr">
        <is>
          <t>Reporting</t>
        </is>
      </c>
      <c r="C109" s="15" t="inlineStr">
        <is>
          <t>Both log-writing modes produce the same complete results</t>
        </is>
      </c>
      <c r="D109" s="15" t="inlineStr">
        <is>
          <t>Checks that the two different ways of writing the run log produce the same complete results.</t>
        </is>
      </c>
      <c r="E109" s="15" t="inlineStr">
        <is>
          <t>None.</t>
        </is>
      </c>
      <c r="F109" s="15" t="inlineStr">
        <is>
          <t>Run one housekeeping cycle with one log-writing mode, and another cycle with the other mode.
Check both sets of log rows.</t>
        </is>
      </c>
      <c r="G109" s="15" t="inlineStr">
        <is>
          <t>Both modes produce complete rows with all the same fields filled in.</t>
        </is>
      </c>
      <c r="H109" s="15" t="inlineStr">
        <is>
          <t>Both</t>
        </is>
      </c>
      <c r="I109" s="15" t="inlineStr"/>
      <c r="J109" s="15" t="inlineStr"/>
    </row>
    <row r="110" ht="48" customHeight="1">
      <c r="A110" s="14" t="inlineStr">
        <is>
          <t>RPT-06</t>
        </is>
      </c>
      <c r="B110" s="14" t="inlineStr">
        <is>
          <t>Reporting</t>
        </is>
      </c>
      <c r="C110" s="14" t="inlineStr">
        <is>
          <t>Saving many log rows at once doesn't drop any</t>
        </is>
      </c>
      <c r="D110" s="14" t="inlineStr">
        <is>
          <t>Checks that saving many log rows at once doesn't quietly drop any of them.</t>
        </is>
      </c>
      <c r="E110" s="14" t="inlineStr">
        <is>
          <t>None.</t>
        </is>
      </c>
      <c r="F110" s="14" t="inlineStr">
        <is>
          <t>Run something that logs several steps at once (like a domain-wide dry run).
Check the log for that run.</t>
        </is>
      </c>
      <c r="G110" s="14" t="inlineStr">
        <is>
          <t>The number of log rows matches the number of steps that actually ran -- nothing missing.</t>
        </is>
      </c>
      <c r="H110" s="14" t="inlineStr">
        <is>
          <t>Both</t>
        </is>
      </c>
      <c r="I110" s="14" t="inlineStr"/>
      <c r="J110" s="14" t="inlineStr"/>
    </row>
    <row r="111" ht="48" customHeight="1">
      <c r="A111" s="15" t="inlineStr">
        <is>
          <t>NOT-01</t>
        </is>
      </c>
      <c r="B111" s="15" t="inlineStr">
        <is>
          <t>Notifications</t>
        </is>
      </c>
      <c r="C111" s="15" t="inlineStr">
        <is>
          <t>Alerts go to the most specific matching contact</t>
        </is>
      </c>
      <c r="D111" s="15" t="inlineStr">
        <is>
          <t>Checks that alerts go to the most specific matching contact, not a random or overly general one.</t>
        </is>
      </c>
      <c r="E111" s="15" t="inlineStr">
        <is>
          <t>A few contact entries set up at different levels of detail for the same domain.</t>
        </is>
      </c>
      <c r="F111" s="15" t="inlineStr">
        <is>
          <t>Look up the contact for different combinations of domain, environment, and tier.</t>
        </is>
      </c>
      <c r="G111" s="15" t="inlineStr">
        <is>
          <t>The most specific matching entry always wins.</t>
        </is>
      </c>
      <c r="H111" s="15" t="inlineStr">
        <is>
          <t>Both</t>
        </is>
      </c>
      <c r="I111" s="15" t="inlineStr"/>
      <c r="J111" s="15" t="inlineStr"/>
    </row>
    <row r="112" ht="48" customHeight="1">
      <c r="A112" s="14" t="inlineStr">
        <is>
          <t>NOT-02</t>
        </is>
      </c>
      <c r="B112" s="14" t="inlineStr">
        <is>
          <t>Notifications</t>
        </is>
      </c>
      <c r="C112" s="14" t="inlineStr">
        <is>
          <t>The weekly summary shows real, accurate numbers</t>
        </is>
      </c>
      <c r="D112" s="14" t="inlineStr">
        <is>
          <t>Checks that the weekly summary for a domain shows real, accurate numbers.</t>
        </is>
      </c>
      <c r="E112" s="14" t="inlineStr">
        <is>
          <t>A domain with some recent run history.</t>
        </is>
      </c>
      <c r="F112" s="14" t="inlineStr">
        <is>
          <t>In a Python shell:
from engine.core.digest import build_digest
import json
print(json.dumps(build_digest('&lt;domain&gt;'), default=str, indent=2))</t>
        </is>
      </c>
      <c r="G112" s="14" t="inlineStr">
        <is>
          <t>The numbers (runs, failures, storage saved) match the real log for that domain over the last 7 days.</t>
        </is>
      </c>
      <c r="H112" s="14" t="inlineStr">
        <is>
          <t>Both</t>
        </is>
      </c>
      <c r="I112" s="14" t="inlineStr"/>
      <c r="J112" s="14" t="inlineStr"/>
    </row>
    <row r="113" ht="48" customHeight="1">
      <c r="A113" s="15" t="inlineStr">
        <is>
          <t>NOT-03</t>
        </is>
      </c>
      <c r="B113" s="15" t="inlineStr">
        <is>
          <t>Notifications</t>
        </is>
      </c>
      <c r="C113" s="15" t="inlineStr">
        <is>
          <t>The weekly summary is actually delivered</t>
        </is>
      </c>
      <c r="D113" s="15" t="inlineStr">
        <is>
          <t>Checks that the weekly summary email or alert is actually delivered.</t>
        </is>
      </c>
      <c r="E113" s="15" t="inlineStr">
        <is>
          <t>A domain with the weekly summary turned on and a working email or alert address.</t>
        </is>
      </c>
      <c r="F113" s="15" t="inlineStr">
        <is>
          <t>Trigger the weekly summary for that domain.
Check the inbox.</t>
        </is>
      </c>
      <c r="G113" s="15" t="inlineStr">
        <is>
          <t>A message arrives with real numbers for that domain.</t>
        </is>
      </c>
      <c r="H113" s="15" t="inlineStr">
        <is>
          <t>Both</t>
        </is>
      </c>
      <c r="I113" s="15" t="inlineStr"/>
      <c r="J113" s="15" t="inlineStr"/>
    </row>
    <row r="114" ht="48" customHeight="1">
      <c r="A114" s="14" t="inlineStr">
        <is>
          <t>NOT-04</t>
        </is>
      </c>
      <c r="B114" s="14" t="inlineStr">
        <is>
          <t>Notifications</t>
        </is>
      </c>
      <c r="C114" s="14" t="inlineStr">
        <is>
          <t>Lifecycle warnings and safety alerts use separate channels</t>
        </is>
      </c>
      <c r="D114" s="14" t="inlineStr">
        <is>
          <t>Checks that lifecycle warnings and safety alerts go to two separate channels, not mixed together.</t>
        </is>
      </c>
      <c r="E114" s="14" t="inlineStr">
        <is>
          <t>Subscriptions set up on both alert channels.</t>
        </is>
      </c>
      <c r="F114" s="14" t="inlineStr">
        <is>
          <t>Trigger a lifecycle warning (LFC-04) and a safety alert (GT3-04) around the same time.</t>
        </is>
      </c>
      <c r="G114" s="14" t="inlineStr">
        <is>
          <t>Each message arrives on its own correct channel.</t>
        </is>
      </c>
      <c r="H114" s="14" t="inlineStr">
        <is>
          <t>Both</t>
        </is>
      </c>
      <c r="I114" s="14" t="inlineStr"/>
      <c r="J114" s="14" t="inlineStr"/>
    </row>
    <row r="115" ht="48" customHeight="1">
      <c r="A115" s="15" t="inlineStr">
        <is>
          <t>SYN-01</t>
        </is>
      </c>
      <c r="B115" s="15" t="inlineStr">
        <is>
          <t>Synthetic Tables</t>
        </is>
      </c>
      <c r="C115" s="15" t="inlineStr">
        <is>
          <t>The generator refuses to run in production, no way around it</t>
        </is>
      </c>
      <c r="D115" s="15" t="inlineStr">
        <is>
          <t>Checks that the test-table generator refuses to run in production, with no way around it.</t>
        </is>
      </c>
      <c r="E115" s="15" t="inlineStr">
        <is>
          <t>None.</t>
        </is>
      </c>
      <c r="F115" s="15" t="inlineStr">
        <is>
          <t>Set your environment to prod.
Run: python scripts/seed_synthetic_iceberg_tables.py --database &lt;db&gt; --s3-location s3://&lt;bucket&gt;/zamboni-test/ --yes</t>
        </is>
      </c>
      <c r="G115" s="15" t="inlineStr">
        <is>
          <t>It refuses immediately and exits with an error, before touching AWS at all. Reset your environment setting afterward.</t>
        </is>
      </c>
      <c r="H115" s="15" t="inlineStr">
        <is>
          <t>Both</t>
        </is>
      </c>
      <c r="I115" s="15" t="inlineStr"/>
      <c r="J115" s="15" t="inlineStr"/>
    </row>
    <row r="116" ht="48" customHeight="1">
      <c r="A116" s="14" t="inlineStr">
        <is>
          <t>SYN-02</t>
        </is>
      </c>
      <c r="B116" s="14" t="inlineStr">
        <is>
          <t>Synthetic Tables</t>
        </is>
      </c>
      <c r="C116" s="14" t="inlineStr">
        <is>
          <t>The generator refuses to run in local-only mode</t>
        </is>
      </c>
      <c r="D116" s="14" t="inlineStr">
        <is>
          <t>Checks that the generator refuses to run in local-only mode, since there's no real database to create tables in.</t>
        </is>
      </c>
      <c r="E116" s="14" t="inlineStr">
        <is>
          <t>Local mode turned on.</t>
        </is>
      </c>
      <c r="F116" s="14" t="inlineStr">
        <is>
          <t>Run: python scripts/seed_synthetic_iceberg_tables.py --database &lt;db&gt; --s3-location s3://&lt;bucket&gt;/zamboni-test/</t>
        </is>
      </c>
      <c r="G116" s="14" t="inlineStr">
        <is>
          <t>It explains there's no real database in this mode and exits.</t>
        </is>
      </c>
      <c r="H116" s="14" t="inlineStr">
        <is>
          <t>Both</t>
        </is>
      </c>
      <c r="I116" s="14" t="inlineStr"/>
      <c r="J116" s="14" t="inlineStr"/>
    </row>
    <row r="117" ht="48" customHeight="1">
      <c r="A117" s="15" t="inlineStr">
        <is>
          <t>SYN-03</t>
        </is>
      </c>
      <c r="B117" s="15" t="inlineStr">
        <is>
          <t>Synthetic Tables</t>
        </is>
      </c>
      <c r="C117" s="15" t="inlineStr">
        <is>
          <t>A dry run shows the plan without creating anything</t>
        </is>
      </c>
      <c r="D117" s="15" t="inlineStr">
        <is>
          <t>Checks that a dry run just shows the plan, without creating anything.</t>
        </is>
      </c>
      <c r="E117" s="15" t="inlineStr">
        <is>
          <t>A dev or preprod environment with a real AWS connection.</t>
        </is>
      </c>
      <c r="F117" s="15" t="inlineStr">
        <is>
          <t>Run: python scripts/seed_synthetic_iceberg_tables.py --database &lt;db&gt; --s3-location s3://&lt;bucket&gt;/zamboni-test/ --num-tables 3</t>
        </is>
      </c>
      <c r="G117" s="15" t="inlineStr">
        <is>
          <t>Screen shows the plan for 3 tables. Nothing new actually appears in the database.</t>
        </is>
      </c>
      <c r="H117" s="15" t="inlineStr">
        <is>
          <t>Both</t>
        </is>
      </c>
      <c r="I117" s="15" t="inlineStr"/>
      <c r="J117" s="15" t="inlineStr"/>
    </row>
    <row r="118" ht="48" customHeight="1">
      <c r="A118" s="14" t="inlineStr">
        <is>
          <t>SYN-04</t>
        </is>
      </c>
      <c r="B118" s="14" t="inlineStr">
        <is>
          <t>Synthetic Tables</t>
        </is>
      </c>
      <c r="C118" s="14" t="inlineStr">
        <is>
          <t>A real run creates working test tables with real history</t>
        </is>
      </c>
      <c r="D118" s="14" t="inlineStr">
        <is>
          <t>Checks that a real run actually creates working test tables with realistic history.</t>
        </is>
      </c>
      <c r="E118" s="14" t="inlineStr">
        <is>
          <t>Same as SYN-03.</t>
        </is>
      </c>
      <c r="F118" s="14" t="inlineStr">
        <is>
          <t>Run: python scripts/seed_synthetic_iceberg_tables.py --database &lt;db&gt; --s3-location s3://&lt;bucket&gt;/zamboni-test/ --num-tables 3 --min-inserts 20 --max-inserts 40 --no-dry-run --yes</t>
        </is>
      </c>
      <c r="G118" s="14" t="inlineStr">
        <is>
          <t>3 new tables exist, each with roughly as many snapshots as it had inserts.</t>
        </is>
      </c>
      <c r="H118" s="14" t="inlineStr">
        <is>
          <t>Both</t>
        </is>
      </c>
      <c r="I118" s="14" t="inlineStr"/>
      <c r="J118" s="14" t="inlineStr"/>
    </row>
    <row r="119" ht="48" customHeight="1">
      <c r="A119" s="15" t="inlineStr">
        <is>
          <t>SYN-05</t>
        </is>
      </c>
      <c r="B119" s="15" t="inlineStr">
        <is>
          <t>Synthetic Tables</t>
        </is>
      </c>
      <c r="C119" s="15" t="inlineStr">
        <is>
          <t>Planted orphan files really appear in S3</t>
        </is>
      </c>
      <c r="D119" s="15" t="inlineStr">
        <is>
          <t>Checks that the plant-orphan-files option really adds untracked files to S3.</t>
        </is>
      </c>
      <c r="E119" s="15" t="inlineStr">
        <is>
          <t>SYN-04 done, or run fresh with the orphan-files option.</t>
        </is>
      </c>
      <c r="F119" s="15" t="inlineStr">
        <is>
          <t>Run with --orphan-files 5 --no-dry-run --yes.
Check the table's S3 folder.</t>
        </is>
      </c>
      <c r="G119" s="15" t="inlineStr">
        <is>
          <t>5 extra junk files exist that aren't part of the real table data.</t>
        </is>
      </c>
      <c r="H119" s="15" t="inlineStr">
        <is>
          <t>Both</t>
        </is>
      </c>
      <c r="I119" s="15" t="inlineStr"/>
      <c r="J119" s="15" t="inlineStr"/>
    </row>
    <row r="120" ht="48" customHeight="1">
      <c r="A120" s="14" t="inlineStr">
        <is>
          <t>SYN-06</t>
        </is>
      </c>
      <c r="B120" s="14" t="inlineStr">
        <is>
          <t>Synthetic Tables</t>
        </is>
      </c>
      <c r="C120" s="14" t="inlineStr">
        <is>
          <t>Cleanup removes test tables completely</t>
        </is>
      </c>
      <c r="D120" s="14" t="inlineStr">
        <is>
          <t>Checks that cleanup removes the test tables completely, from both Glue and S3.</t>
        </is>
      </c>
      <c r="E120" s="14" t="inlineStr">
        <is>
          <t>SYN-04/05 done.</t>
        </is>
      </c>
      <c r="F120" s="14" t="inlineStr">
        <is>
          <t>Run: python scripts/seed_synthetic_iceberg_tables.py --database &lt;db&gt; --s3-location s3://&lt;bucket&gt;/zamboni-test/ --cleanup --no-dry-run --yes</t>
        </is>
      </c>
      <c r="G120" s="14" t="inlineStr">
        <is>
          <t>All the test tables are gone from Glue. Their S3 folders are completely empty, including the planted junk files.</t>
        </is>
      </c>
      <c r="H120" s="14" t="inlineStr">
        <is>
          <t>Both</t>
        </is>
      </c>
      <c r="I120" s="14" t="inlineStr"/>
      <c r="J120" s="14" t="inlineStr"/>
    </row>
    <row r="121" ht="48" customHeight="1">
      <c r="A121" s="15" t="inlineStr">
        <is>
          <t>EC2-01</t>
        </is>
      </c>
      <c r="B121" s="15" t="inlineStr">
        <is>
          <t>EC2 / Deploy</t>
        </is>
      </c>
      <c r="C121" s="15" t="inlineStr">
        <is>
          <t>All background services are running after a deploy</t>
        </is>
      </c>
      <c r="D121" s="15" t="inlineStr">
        <is>
          <t>Checks that all of Zamboni's background services are running after a deploy.</t>
        </is>
      </c>
      <c r="E121" s="15" t="inlineStr">
        <is>
          <t>A deploy has just finished.</t>
        </is>
      </c>
      <c r="F121" s="15" t="inlineStr">
        <is>
          <t>Log into the server and run:
systemctl status zamboni-api zamboni-control-plane-sync zamboni-control-plane-backup zamboni-control-plane-integrity.timer</t>
        </is>
      </c>
      <c r="G121" s="15" t="inlineStr">
        <is>
          <t>All services show as running (or, for the timer, waiting). None have failed.</t>
        </is>
      </c>
      <c r="H121" s="15" t="inlineStr">
        <is>
          <t>aws_ec2</t>
        </is>
      </c>
      <c r="I121" s="15" t="inlineStr"/>
      <c r="J121" s="15" t="inlineStr"/>
    </row>
    <row r="122" ht="48" customHeight="1">
      <c r="A122" s="14" t="inlineStr">
        <is>
          <t>EC2-02</t>
        </is>
      </c>
      <c r="B122" s="14" t="inlineStr">
        <is>
          <t>EC2 / Deploy</t>
        </is>
      </c>
      <c r="C122" s="14" t="inlineStr">
        <is>
          <t>Scheduled jobs actually fire the engines</t>
        </is>
      </c>
      <c r="D122" s="14" t="inlineStr">
        <is>
          <t>Checks that the scheduled jobs actually fire the engines automatically.</t>
        </is>
      </c>
      <c r="E122" s="14" t="inlineStr">
        <is>
          <t>Scheduling is turned on.</t>
        </is>
      </c>
      <c r="F122" s="14" t="inlineStr">
        <is>
          <t>Wait for the hourly housekeeping schedule to fire (or trigger it manually).
Check the log file on the server.</t>
        </is>
      </c>
      <c r="G122" s="14" t="inlineStr">
        <is>
          <t>A fresh run shows up in the log at the right time, with a real summary.</t>
        </is>
      </c>
      <c r="H122" s="14" t="inlineStr">
        <is>
          <t>aws_ec2</t>
        </is>
      </c>
      <c r="I122" s="14" t="inlineStr"/>
      <c r="J122" s="14" t="inlineStr"/>
    </row>
    <row r="123" ht="48" customHeight="1">
      <c r="A123" s="15" t="inlineStr">
        <is>
          <t>EC2-03</t>
        </is>
      </c>
      <c r="B123" s="15" t="inlineStr">
        <is>
          <t>EC2 / Deploy</t>
        </is>
      </c>
      <c r="C123" s="15" t="inlineStr">
        <is>
          <t>Turning scheduling off pauses jobs without deleting the schedule</t>
        </is>
      </c>
      <c r="D123" s="15" t="inlineStr">
        <is>
          <t>Checks that turning scheduling off pauses the jobs without deleting the schedule itself.</t>
        </is>
      </c>
      <c r="E123" s="15" t="inlineStr">
        <is>
          <t>None.</t>
        </is>
      </c>
      <c r="F123" s="15" t="inlineStr">
        <is>
          <t>Redeploy with scheduling turned off.
Check the schedule's status in AWS.</t>
        </is>
      </c>
      <c r="G123" s="15" t="inlineStr">
        <is>
          <t>The schedule shows as disabled, not deleted. Turning it back on works without needing to recreate anything.</t>
        </is>
      </c>
      <c r="H123" s="15" t="inlineStr">
        <is>
          <t>aws_ec2</t>
        </is>
      </c>
      <c r="I123" s="15" t="inlineStr"/>
      <c r="J123" s="15" t="inlineStr"/>
    </row>
    <row r="124" ht="48" customHeight="1">
      <c r="A124" s="14" t="inlineStr">
        <is>
          <t>EC2-04</t>
        </is>
      </c>
      <c r="B124" s="14" t="inlineStr">
        <is>
          <t>EC2 / Deploy</t>
        </is>
      </c>
      <c r="C124" s="14" t="inlineStr">
        <is>
          <t>Log files rotate properly and get shipped off the server</t>
        </is>
      </c>
      <c r="D124" s="14" t="inlineStr">
        <is>
          <t>Checks that log files rotate properly and get shipped off the server.</t>
        </is>
      </c>
      <c r="E124" s="14" t="inlineStr">
        <is>
          <t>Services have been running for a while, or force a rotation manually.</t>
        </is>
      </c>
      <c r="F124" s="14" t="inlineStr">
        <is>
          <t>Force a log rotation.
Check for the rotated file.
Check the cloud logging console for recent entries.</t>
        </is>
      </c>
      <c r="G124" s="14" t="inlineStr">
        <is>
          <t>Old logs get rotated out. New log entries keep appearing. The cloud console shows recent activity.</t>
        </is>
      </c>
      <c r="H124" s="14" t="inlineStr">
        <is>
          <t>aws_ec2</t>
        </is>
      </c>
      <c r="I124" s="14" t="inlineStr"/>
      <c r="J124" s="14" t="inlineStr"/>
    </row>
    <row r="125" ht="48" customHeight="1">
      <c r="A125" s="15" t="inlineStr">
        <is>
          <t>EC2-05</t>
        </is>
      </c>
      <c r="B125" s="15" t="inlineStr">
        <is>
          <t>EC2 / Deploy</t>
        </is>
      </c>
      <c r="C125" s="15" t="inlineStr">
        <is>
          <t>A failed server startup would actually be visible</t>
        </is>
      </c>
      <c r="D125" s="15" t="inlineStr">
        <is>
          <t>Checks that a failed server startup would actually be visible, not silent.</t>
        </is>
      </c>
      <c r="E125" s="15" t="inlineStr">
        <is>
          <t>None -- just check any running server.</t>
        </is>
      </c>
      <c r="F125" s="15" t="inlineStr">
        <is>
          <t>Look at the BootstrapSuccess metric for the server in the cloud monitoring console.</t>
        </is>
      </c>
      <c r="G125" s="15" t="inlineStr">
        <is>
          <t>It shows a value of 1, recorded at boot time.</t>
        </is>
      </c>
      <c r="H125" s="15" t="inlineStr">
        <is>
          <t>aws_ec2</t>
        </is>
      </c>
      <c r="I125" s="15" t="inlineStr"/>
      <c r="J125" s="15" t="inlineStr"/>
    </row>
    <row r="126" ht="48" customHeight="1">
      <c r="A126" s="14" t="inlineStr">
        <is>
          <t>EC2-06</t>
        </is>
      </c>
      <c r="B126" s="14" t="inlineStr">
        <is>
          <t>EC2 / Deploy</t>
        </is>
      </c>
      <c r="C126" s="14" t="inlineStr">
        <is>
          <t>A second deploy does not wipe out saved data</t>
        </is>
      </c>
      <c r="D126" s="14" t="inlineStr">
        <is>
          <t>Checks that redeploying the app a second time does not wipe out the saved data.</t>
        </is>
      </c>
      <c r="E126" s="14" t="inlineStr">
        <is>
          <t>At least one deploy already done, with test data saved.</t>
        </is>
      </c>
      <c r="F126" s="14" t="inlineStr">
        <is>
          <t>Check the server's settings file for the database path.
Trigger a second deploy.
Check the app again for the earlier test data.</t>
        </is>
      </c>
      <c r="G126" s="14" t="inlineStr">
        <is>
          <t>The database path points outside the folder that gets wiped on deploy. All earlier test data is still there after the second deploy.</t>
        </is>
      </c>
      <c r="H126" s="14" t="inlineStr">
        <is>
          <t>aws_ec2</t>
        </is>
      </c>
      <c r="I126" s="14" t="inlineStr"/>
      <c r="J126" s="14" t="inlineStr"/>
    </row>
  </sheetData>
  <autoFilter ref="A1:J126"/>
  <conditionalFormatting sqref="I2:I126">
    <cfRule type="cellIs" priority="1" operator="equal" dxfId="0">
      <formula>"Pass"</formula>
    </cfRule>
    <cfRule type="cellIs" priority="2" operator="equal" dxfId="1">
      <formula>"Fail"</formula>
    </cfRule>
    <cfRule type="cellIs" priority="3" operator="equal" dxfId="2">
      <formula>"N/A"</formula>
    </cfRule>
  </conditionalFormatting>
  <dataValidations count="1">
    <dataValidation sqref="I2:I126" showDropDown="0" showInputMessage="0" showErrorMessage="1" allowBlank="1" errorTitle="Invalid entry" error="Pick Pass, Fail, or N/A from the dropdown."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2026-07-13T08:33:10Z</dcterms:created>
  <dcterms:modified xsi:type="dcterms:W3CDTF">2026-07-13T08:33:10Z</dcterms:modified>
</cp:coreProperties>
</file>